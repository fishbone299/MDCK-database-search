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aguemr/Scripts/"/>
    </mc:Choice>
  </mc:AlternateContent>
  <xr:revisionPtr revIDLastSave="0" documentId="13_ncr:1_{A1D6765C-C9C2-B843-BE19-41A094FC5E86}" xr6:coauthVersionLast="47" xr6:coauthVersionMax="47" xr10:uidLastSave="{00000000-0000-0000-0000-000000000000}"/>
  <bookViews>
    <workbookView xWindow="-34680" yWindow="-1220" windowWidth="31000" windowHeight="21000" activeTab="3" xr2:uid="{00000000-000D-0000-FFFF-FFFF00000000}"/>
  </bookViews>
  <sheets>
    <sheet name="C1 &amp; Average MDCK" sheetId="3" r:id="rId1"/>
    <sheet name="C1 Matches " sheetId="7" r:id="rId2"/>
    <sheet name="C2 &amp; Average MDCK" sheetId="4" r:id="rId3"/>
    <sheet name="C2 Matches" sheetId="6" r:id="rId4"/>
    <sheet name="C1" sheetId="1" r:id="rId5"/>
    <sheet name="C2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2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3" i="1"/>
  <c r="M4" i="1"/>
  <c r="M5" i="1"/>
  <c r="M2" i="1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12" i="2"/>
  <c r="Q13" i="2"/>
  <c r="Q14" i="2"/>
  <c r="Q15" i="2"/>
  <c r="Q16" i="2"/>
  <c r="Q17" i="2"/>
  <c r="Q18" i="2"/>
  <c r="Q19" i="2"/>
  <c r="Q20" i="2"/>
  <c r="Q21" i="2"/>
  <c r="Q6" i="2"/>
  <c r="Q7" i="2"/>
  <c r="Q8" i="2"/>
  <c r="Q9" i="2"/>
  <c r="Q10" i="2"/>
  <c r="Q11" i="2"/>
  <c r="Q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6" i="2"/>
  <c r="N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" i="2"/>
</calcChain>
</file>

<file path=xl/sharedStrings.xml><?xml version="1.0" encoding="utf-8"?>
<sst xmlns="http://schemas.openxmlformats.org/spreadsheetml/2006/main" count="3840" uniqueCount="309">
  <si>
    <t>Study</t>
  </si>
  <si>
    <t>Project</t>
  </si>
  <si>
    <t>Requester</t>
  </si>
  <si>
    <t>Sample</t>
  </si>
  <si>
    <t>Papp AB</t>
  </si>
  <si>
    <t>Papp BA</t>
  </si>
  <si>
    <t>Efflux</t>
  </si>
  <si>
    <t>Recovery AB</t>
  </si>
  <si>
    <t>Recovery BA</t>
  </si>
  <si>
    <t>Compound</t>
  </si>
  <si>
    <t>A-B1</t>
  </si>
  <si>
    <t>A-B2</t>
  </si>
  <si>
    <t>B-A1</t>
  </si>
  <si>
    <t>B-A2</t>
  </si>
  <si>
    <t>Efflux Ratio1</t>
  </si>
  <si>
    <t>Efflux Ratio2</t>
  </si>
  <si>
    <t>Recovery AB1</t>
  </si>
  <si>
    <t>Recovery AB2</t>
  </si>
  <si>
    <t>Recovery BA1</t>
  </si>
  <si>
    <t>Recovery BA2</t>
  </si>
  <si>
    <t>AUT-MDCK-2026-02</t>
  </si>
  <si>
    <t>cell automation</t>
  </si>
  <si>
    <t>NCGC00014925</t>
  </si>
  <si>
    <t>Average Total MDCK studies</t>
  </si>
  <si>
    <t>MDCK-2022-07</t>
  </si>
  <si>
    <t>in vitro/in vivo - repeat</t>
  </si>
  <si>
    <t>Pranav/Rintaro</t>
  </si>
  <si>
    <t>MDCK-2025-06</t>
  </si>
  <si>
    <t>MIM BBB</t>
  </si>
  <si>
    <t>NCGC00015205</t>
  </si>
  <si>
    <t>MDCK-2023-04</t>
  </si>
  <si>
    <t>NIDA</t>
  </si>
  <si>
    <t>NCGC00015608</t>
  </si>
  <si>
    <t>MDCK-2023-14</t>
  </si>
  <si>
    <t>Loperamide</t>
  </si>
  <si>
    <t>Control</t>
  </si>
  <si>
    <t>MDCK-2022-03</t>
  </si>
  <si>
    <t>NCGC00015735</t>
  </si>
  <si>
    <t>propranolol</t>
  </si>
  <si>
    <t>***duplicate</t>
  </si>
  <si>
    <t>NCGC00015876</t>
  </si>
  <si>
    <t>MDCK-2026-01</t>
  </si>
  <si>
    <t xml:space="preserve">Nita </t>
  </si>
  <si>
    <t>NCGC00024379</t>
  </si>
  <si>
    <t>NCGC00092309</t>
  </si>
  <si>
    <t>Stem Cell - AxD</t>
  </si>
  <si>
    <t>Jovanovic, Vukasin</t>
  </si>
  <si>
    <t>NCGC00092666</t>
  </si>
  <si>
    <t>MDCK-2023-08</t>
  </si>
  <si>
    <t>Girk2</t>
  </si>
  <si>
    <t>Rai Bantukallu C2, Ganesha</t>
  </si>
  <si>
    <t>NCGC00125676</t>
  </si>
  <si>
    <t>MDCK-2022-06</t>
  </si>
  <si>
    <t>DYT1</t>
  </si>
  <si>
    <t>Vinoth/Sam</t>
  </si>
  <si>
    <t>MDCK-2023-02</t>
  </si>
  <si>
    <t>Chenniappan, Vinoth Kumar</t>
  </si>
  <si>
    <t>MDCK-2025-05</t>
  </si>
  <si>
    <t>NCGC00128751</t>
  </si>
  <si>
    <t>Rabies</t>
  </si>
  <si>
    <t>Zakharov IN, Alexey</t>
  </si>
  <si>
    <t>NCGC00159456</t>
  </si>
  <si>
    <t>NCGC00162413</t>
  </si>
  <si>
    <t>N/F</t>
  </si>
  <si>
    <t>MDCK-2022-02</t>
  </si>
  <si>
    <t>Jovanovic, Vikasin</t>
  </si>
  <si>
    <t>talinolol</t>
  </si>
  <si>
    <t>NCGC00164574</t>
  </si>
  <si>
    <t>NCGC00164631</t>
  </si>
  <si>
    <t xml:space="preserve">quinidine </t>
  </si>
  <si>
    <t>NCGC00168772</t>
  </si>
  <si>
    <t>NCGC00182410</t>
  </si>
  <si>
    <t>NCGC00182825</t>
  </si>
  <si>
    <t>NCGC00188346</t>
  </si>
  <si>
    <t>NCGC00188399</t>
  </si>
  <si>
    <t>in vitro/in vivo</t>
  </si>
  <si>
    <t>NCGC00241101</t>
  </si>
  <si>
    <t>NCGC00241102</t>
  </si>
  <si>
    <t>NCGC00241107</t>
  </si>
  <si>
    <t>NCGC00242478</t>
  </si>
  <si>
    <t>NCGC00245963</t>
  </si>
  <si>
    <t>NCGC00247785</t>
  </si>
  <si>
    <t>PNC</t>
  </si>
  <si>
    <t>Daly, Harrison</t>
  </si>
  <si>
    <t>NCGC00247877</t>
  </si>
  <si>
    <t>NCGC00247879</t>
  </si>
  <si>
    <t>NCGC00249685</t>
  </si>
  <si>
    <t>NCGC00250135</t>
  </si>
  <si>
    <t>PAMPA BBB</t>
  </si>
  <si>
    <t>NCGC00250218</t>
  </si>
  <si>
    <t>NCGC00263104</t>
  </si>
  <si>
    <t>NCGC00263156</t>
  </si>
  <si>
    <t>NCGC00263623</t>
  </si>
  <si>
    <t>NCGC00263912</t>
  </si>
  <si>
    <t>NCGC00344093</t>
  </si>
  <si>
    <t>NCGC00344622</t>
  </si>
  <si>
    <t>NCGC00345880</t>
  </si>
  <si>
    <t>NCGC00346569</t>
  </si>
  <si>
    <t>NCGC00346674</t>
  </si>
  <si>
    <t>NCGC00346678</t>
  </si>
  <si>
    <t>NCGC00346704</t>
  </si>
  <si>
    <t>NCGC00347064</t>
  </si>
  <si>
    <t>NCGC00348147</t>
  </si>
  <si>
    <t>PAMPA BBB and MIM</t>
  </si>
  <si>
    <t>MDCK-2025-08</t>
  </si>
  <si>
    <t>Rab9</t>
  </si>
  <si>
    <t>C2 AUTO-MDCK-2026-02</t>
  </si>
  <si>
    <t>Propanolol</t>
  </si>
  <si>
    <t>Talinolol</t>
  </si>
  <si>
    <t>Quinidine</t>
  </si>
  <si>
    <t>NCGC00351232</t>
  </si>
  <si>
    <t>HCV</t>
  </si>
  <si>
    <t>NCGC00351432</t>
  </si>
  <si>
    <t>C-abl Kinase</t>
  </si>
  <si>
    <t>NCGC00351597</t>
  </si>
  <si>
    <t>NCGC00351683</t>
  </si>
  <si>
    <t>NCGC00351982</t>
  </si>
  <si>
    <t>NCGC00356031</t>
  </si>
  <si>
    <t>NCGC00356581</t>
  </si>
  <si>
    <t>NCGC00356803</t>
  </si>
  <si>
    <t>NCGC00370678</t>
  </si>
  <si>
    <t>DPI Probe</t>
  </si>
  <si>
    <t>NCGC00371072</t>
  </si>
  <si>
    <t>NCGC00371131</t>
  </si>
  <si>
    <t>NCGC00371157</t>
  </si>
  <si>
    <t>NCGC00371404</t>
  </si>
  <si>
    <t>NCGC00371477</t>
  </si>
  <si>
    <t>IDH1</t>
  </si>
  <si>
    <t>NCGC00373033</t>
  </si>
  <si>
    <t>NCGC00378227</t>
  </si>
  <si>
    <t>NCGC00378556</t>
  </si>
  <si>
    <t>NCGC00378599</t>
  </si>
  <si>
    <t>NCGC00378612</t>
  </si>
  <si>
    <t>NCGC00384179</t>
  </si>
  <si>
    <t>NCGC00384250</t>
  </si>
  <si>
    <t>NCGC00384450</t>
  </si>
  <si>
    <t>Wolfram</t>
  </si>
  <si>
    <t>NCGC00386123</t>
  </si>
  <si>
    <t>MDCK-2022-05</t>
  </si>
  <si>
    <t>NCGC00386182</t>
  </si>
  <si>
    <t>NCGC00387184</t>
  </si>
  <si>
    <t>NCGC00387824</t>
  </si>
  <si>
    <t>NCGC00387853</t>
  </si>
  <si>
    <t>NCGC00389131</t>
  </si>
  <si>
    <t>NCGC00389998</t>
  </si>
  <si>
    <t>NCGC00390533</t>
  </si>
  <si>
    <t>NCGC00390633</t>
  </si>
  <si>
    <t>NCGC00390768</t>
  </si>
  <si>
    <t>NCGC00408793</t>
  </si>
  <si>
    <t>NCGC00411866</t>
  </si>
  <si>
    <t>NCGC00413972</t>
  </si>
  <si>
    <t>NCGC00414939</t>
  </si>
  <si>
    <t>NCGC00420895</t>
  </si>
  <si>
    <t>NCGC00440110</t>
  </si>
  <si>
    <t>NCGC00446653</t>
  </si>
  <si>
    <t>MDCK-2021-02</t>
  </si>
  <si>
    <t>NNMT1</t>
  </si>
  <si>
    <t>Kong, Ke</t>
  </si>
  <si>
    <t>NCGC00475742</t>
  </si>
  <si>
    <t>NCGC00480721</t>
  </si>
  <si>
    <t>NCGC00481329</t>
  </si>
  <si>
    <t>NCGC00481516</t>
  </si>
  <si>
    <t>NCGC00483973</t>
  </si>
  <si>
    <t>NCGC00484800</t>
  </si>
  <si>
    <t>C2 Papp AB</t>
  </si>
  <si>
    <t>C2 Papp BA</t>
  </si>
  <si>
    <t>C2 Efflux</t>
  </si>
  <si>
    <t>C2 Recovery AB</t>
  </si>
  <si>
    <t>C2 Recovery BA</t>
  </si>
  <si>
    <t>Av Papp AB</t>
  </si>
  <si>
    <t>Av Papp BA</t>
  </si>
  <si>
    <t>AV Efflux</t>
  </si>
  <si>
    <t>AV Recovery AB</t>
  </si>
  <si>
    <t>AV Recovery BA</t>
  </si>
  <si>
    <t>AUTO-MDCK-2026-04</t>
  </si>
  <si>
    <t>NCGC00014925-16</t>
  </si>
  <si>
    <t>NCGC00015205-09</t>
  </si>
  <si>
    <t>NCGC00015608-17</t>
  </si>
  <si>
    <t>NCGC00015735-11</t>
  </si>
  <si>
    <t>NCGC00015798-07</t>
  </si>
  <si>
    <t>Propranolol</t>
  </si>
  <si>
    <t>NCGC00015798-13</t>
  </si>
  <si>
    <t>NCGC00015876-11</t>
  </si>
  <si>
    <t>NCGC00024379-16</t>
  </si>
  <si>
    <t>NCGC00092309-01</t>
  </si>
  <si>
    <t>NCGC00092666-05</t>
  </si>
  <si>
    <t>NCGC00125676-02</t>
  </si>
  <si>
    <t>NCGC00128751-05</t>
  </si>
  <si>
    <t>NCGC00159456-06</t>
  </si>
  <si>
    <t>NCGC00162413-13</t>
  </si>
  <si>
    <t>NCGC00164542-02</t>
  </si>
  <si>
    <t>NCGC00164574-11</t>
  </si>
  <si>
    <t>NCGC00164631-09</t>
  </si>
  <si>
    <t>NCGC00166281-06</t>
  </si>
  <si>
    <t>NCGC00168772-06</t>
  </si>
  <si>
    <t>NCGC00182410-01</t>
  </si>
  <si>
    <t>NCGC00182825-01</t>
  </si>
  <si>
    <t>NCGC00188346-04</t>
  </si>
  <si>
    <t>NCGC00188399-16</t>
  </si>
  <si>
    <t>NCGC00241101-07</t>
  </si>
  <si>
    <t>NCGC00241102-10</t>
  </si>
  <si>
    <t>NCGC00241107-02</t>
  </si>
  <si>
    <t>NCGC00242478-13</t>
  </si>
  <si>
    <t>NCGC00245963-02</t>
  </si>
  <si>
    <t>NCGC00247785-06</t>
  </si>
  <si>
    <t>NCGC00247877-09</t>
  </si>
  <si>
    <t>NCGC00247879-05</t>
  </si>
  <si>
    <t>NCGC00249685-18</t>
  </si>
  <si>
    <t>NCGC00250135-11</t>
  </si>
  <si>
    <t>NCGC00250218-02</t>
  </si>
  <si>
    <t>NCGC00263104-03</t>
  </si>
  <si>
    <t>NCGC00263156-13</t>
  </si>
  <si>
    <t>NCGC00263623-03</t>
  </si>
  <si>
    <t>NCGC00263912-01</t>
  </si>
  <si>
    <t>NCGC00344093-03</t>
  </si>
  <si>
    <t>NCGC00344622-09</t>
  </si>
  <si>
    <t>NCGC00345880-01</t>
  </si>
  <si>
    <t>NCGC00346569-03</t>
  </si>
  <si>
    <t>NCGC00346674-03</t>
  </si>
  <si>
    <t>NCGC00346678-08</t>
  </si>
  <si>
    <t>NCGC00346704-05</t>
  </si>
  <si>
    <t>NCGC00347064-02</t>
  </si>
  <si>
    <t>NCGC00348147-04</t>
  </si>
  <si>
    <t>NCGC00166281</t>
  </si>
  <si>
    <t>NCGC00164542</t>
  </si>
  <si>
    <t>NCGC00015798</t>
  </si>
  <si>
    <t>AUTO-MDCK-C2-2026-04</t>
  </si>
  <si>
    <t>NCGC00015798-1</t>
  </si>
  <si>
    <t xml:space="preserve">Quinidine </t>
  </si>
  <si>
    <t>NCGC00351232-03</t>
  </si>
  <si>
    <t>NCGC00351432-03</t>
  </si>
  <si>
    <t>NCGC00351597-02</t>
  </si>
  <si>
    <t>NCGC00351683-06</t>
  </si>
  <si>
    <t>NCGC00351982-04</t>
  </si>
  <si>
    <t>NCGC00356031-02</t>
  </si>
  <si>
    <t>NCGC00356581-02</t>
  </si>
  <si>
    <t>NCGC00356803-02</t>
  </si>
  <si>
    <t>NCGC00370678-02</t>
  </si>
  <si>
    <t>NCGC00371072-06</t>
  </si>
  <si>
    <t>NCGC00371131-08</t>
  </si>
  <si>
    <t>NCGC00371157-01</t>
  </si>
  <si>
    <t>NCGC00371404-02</t>
  </si>
  <si>
    <t>NCGC00371477-01</t>
  </si>
  <si>
    <t>NCGC00373033-11</t>
  </si>
  <si>
    <t>NCGC00378227-03</t>
  </si>
  <si>
    <t>NCGC00378556-03</t>
  </si>
  <si>
    <t>NCGC00378599-02</t>
  </si>
  <si>
    <t>NCGC00378612-02</t>
  </si>
  <si>
    <t>NCGC00384179-01</t>
  </si>
  <si>
    <t>NCGC00384250-01</t>
  </si>
  <si>
    <t>NCGC00384450-01</t>
  </si>
  <si>
    <t>NCGC00386123-03</t>
  </si>
  <si>
    <t>NCGC00386182-02</t>
  </si>
  <si>
    <t>NCGC00387184-01</t>
  </si>
  <si>
    <t>NCGC00387824-02</t>
  </si>
  <si>
    <t>NCGC00387853-04</t>
  </si>
  <si>
    <t>NCGC00389131-03</t>
  </si>
  <si>
    <t>NCGC00389998-02</t>
  </si>
  <si>
    <t>NCGC00390533-01</t>
  </si>
  <si>
    <t>NCGC00390633-01</t>
  </si>
  <si>
    <t>NCGC00390768-03</t>
  </si>
  <si>
    <t>NCGC00408793-02</t>
  </si>
  <si>
    <t>NCGC00411866-03</t>
  </si>
  <si>
    <t>NCGC00413972-04</t>
  </si>
  <si>
    <t>NCGC00414939-01</t>
  </si>
  <si>
    <t>NCGC00420895-02</t>
  </si>
  <si>
    <t>NCGC00440110-01</t>
  </si>
  <si>
    <t>NCGC00446653-01</t>
  </si>
  <si>
    <t>NCGC00475742-03</t>
  </si>
  <si>
    <t>NCGC00480721-02</t>
  </si>
  <si>
    <t>NCGC00481329-01</t>
  </si>
  <si>
    <t>NCGC00481516-01</t>
  </si>
  <si>
    <t>NCGC00483973-01</t>
  </si>
  <si>
    <t>NCGC00484800-02</t>
  </si>
  <si>
    <t>N/A</t>
  </si>
  <si>
    <t>match</t>
  </si>
  <si>
    <t>Project 04</t>
  </si>
  <si>
    <t>Requester 04</t>
  </si>
  <si>
    <t>Sample 04</t>
  </si>
  <si>
    <t>Papp AB 04</t>
  </si>
  <si>
    <t>Papp BA 04</t>
  </si>
  <si>
    <t>Efflux 04</t>
  </si>
  <si>
    <t>Recovery AB 04</t>
  </si>
  <si>
    <t>Recovery BA 04</t>
  </si>
  <si>
    <t>Study 02</t>
  </si>
  <si>
    <t>Project 02</t>
  </si>
  <si>
    <t>Requester 02</t>
  </si>
  <si>
    <t>Sample 02</t>
  </si>
  <si>
    <t>Papp AB 02</t>
  </si>
  <si>
    <t>Papp BA 02</t>
  </si>
  <si>
    <t>Efflux 02</t>
  </si>
  <si>
    <t>Recovery AB 02</t>
  </si>
  <si>
    <t>Recovery BA 02</t>
  </si>
  <si>
    <t>Study all</t>
  </si>
  <si>
    <t>Sample all</t>
  </si>
  <si>
    <t>Papp AB all</t>
  </si>
  <si>
    <t>Papp BA all</t>
  </si>
  <si>
    <t>Efflux all</t>
  </si>
  <si>
    <t>Recovery AB all</t>
  </si>
  <si>
    <t>Recovery BA all</t>
  </si>
  <si>
    <t>Unnamed: 9</t>
  </si>
  <si>
    <t>Unnamed: 19</t>
  </si>
  <si>
    <t>C1_04 Vs C1_02 Papp AB</t>
  </si>
  <si>
    <t>AUTO Vs MDCK Papp AB</t>
  </si>
  <si>
    <t>C1_04 Vs C1_02 Papp BA</t>
  </si>
  <si>
    <t>AUTO Vs MDCK Papp BA</t>
  </si>
  <si>
    <t>C1_04 Vs C1_02 Efflux</t>
  </si>
  <si>
    <t>AUTO Vs MDCK Efflux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</si>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</sst>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C446-213E-3849-B79D-0527C1E3B380}">
  <dimension ref="A1:AA48"/>
  <sheetViews>
    <sheetView topLeftCell="A3" zoomScale="91" workbookViewId="0">
      <selection sqref="A1:XFD1"/>
    </sheetView>
  </sheetViews>
  <sheetFormatPr baseColWidth="10" defaultRowHeight="15" x14ac:dyDescent="0.2"/>
  <cols>
    <col min="1" max="1" width="17.6640625" bestFit="1" customWidth="1"/>
    <col min="4" max="4" width="16" bestFit="1" customWidth="1"/>
    <col min="11" max="11" width="16.5" bestFit="1" customWidth="1"/>
    <col min="14" max="14" width="13.5" bestFit="1" customWidth="1"/>
    <col min="21" max="21" width="22.1640625" bestFit="1" customWidth="1"/>
    <col min="22" max="22" width="13.5" bestFit="1" customWidth="1"/>
    <col min="25" max="25" width="12.6640625" bestFit="1" customWidth="1"/>
  </cols>
  <sheetData>
    <row r="1" spans="1:27" x14ac:dyDescent="0.2">
      <c r="A1" t="s">
        <v>0</v>
      </c>
      <c r="B1" t="s">
        <v>276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K1" t="s">
        <v>284</v>
      </c>
      <c r="L1" t="s">
        <v>285</v>
      </c>
      <c r="M1" t="s">
        <v>286</v>
      </c>
      <c r="N1" t="s">
        <v>287</v>
      </c>
      <c r="O1" t="s">
        <v>288</v>
      </c>
      <c r="P1" t="s">
        <v>289</v>
      </c>
      <c r="Q1" t="s">
        <v>290</v>
      </c>
      <c r="R1" t="s">
        <v>291</v>
      </c>
      <c r="S1" t="s">
        <v>292</v>
      </c>
      <c r="U1" t="s">
        <v>293</v>
      </c>
      <c r="V1" t="s">
        <v>294</v>
      </c>
      <c r="W1" t="s">
        <v>295</v>
      </c>
      <c r="X1" t="s">
        <v>296</v>
      </c>
      <c r="Y1" t="s">
        <v>297</v>
      </c>
      <c r="Z1" t="s">
        <v>298</v>
      </c>
      <c r="AA1" t="s">
        <v>299</v>
      </c>
    </row>
    <row r="2" spans="1:27" x14ac:dyDescent="0.2">
      <c r="A2" t="s">
        <v>174</v>
      </c>
      <c r="B2" t="s">
        <v>21</v>
      </c>
      <c r="D2" t="s">
        <v>175</v>
      </c>
      <c r="E2" s="2" t="s">
        <v>274</v>
      </c>
      <c r="F2" s="2">
        <v>1.035355981559638</v>
      </c>
      <c r="G2" s="2" t="s">
        <v>274</v>
      </c>
      <c r="H2" s="2" t="s">
        <v>274</v>
      </c>
      <c r="I2" s="2">
        <v>21.296849133105169</v>
      </c>
      <c r="K2" t="s">
        <v>20</v>
      </c>
      <c r="L2" t="s">
        <v>21</v>
      </c>
      <c r="N2" t="s">
        <v>22</v>
      </c>
      <c r="O2" t="s">
        <v>274</v>
      </c>
      <c r="P2">
        <v>0.69</v>
      </c>
      <c r="Q2" t="s">
        <v>274</v>
      </c>
      <c r="R2" t="s">
        <v>274</v>
      </c>
      <c r="S2">
        <v>14.39</v>
      </c>
      <c r="U2" t="s">
        <v>23</v>
      </c>
      <c r="V2" t="s">
        <v>22</v>
      </c>
      <c r="W2" s="2">
        <v>6.31</v>
      </c>
      <c r="X2" s="2">
        <v>4.7675000000000001</v>
      </c>
      <c r="Y2" s="3">
        <v>9.7799999999999994</v>
      </c>
      <c r="Z2" s="2">
        <v>76.399999999999991</v>
      </c>
      <c r="AA2" s="2">
        <v>67.37</v>
      </c>
    </row>
    <row r="3" spans="1:27" x14ac:dyDescent="0.2">
      <c r="A3" t="s">
        <v>174</v>
      </c>
      <c r="B3" t="s">
        <v>21</v>
      </c>
      <c r="D3" t="s">
        <v>176</v>
      </c>
      <c r="E3" s="2">
        <v>14.75986486369403</v>
      </c>
      <c r="F3" s="2">
        <v>16.377504119800371</v>
      </c>
      <c r="G3" s="2">
        <v>1.1055067242276109</v>
      </c>
      <c r="H3" s="2">
        <v>63.779624728849541</v>
      </c>
      <c r="I3" s="2">
        <v>56.357399583561147</v>
      </c>
      <c r="K3" t="s">
        <v>20</v>
      </c>
      <c r="L3" t="s">
        <v>21</v>
      </c>
      <c r="N3" t="s">
        <v>29</v>
      </c>
      <c r="O3">
        <v>10.84</v>
      </c>
      <c r="P3">
        <v>9.26</v>
      </c>
      <c r="Q3">
        <v>0.86</v>
      </c>
      <c r="R3">
        <v>75.34</v>
      </c>
      <c r="S3">
        <v>61.21</v>
      </c>
      <c r="U3" t="s">
        <v>23</v>
      </c>
      <c r="V3" t="s">
        <v>29</v>
      </c>
      <c r="W3" s="2">
        <v>9.9775000000000009</v>
      </c>
      <c r="X3" s="2">
        <v>39.98749999999999</v>
      </c>
      <c r="Y3" s="2">
        <v>3.6375000000000002</v>
      </c>
      <c r="Z3" s="2">
        <v>66.672499999999999</v>
      </c>
      <c r="AA3" s="2">
        <v>68.542500000000004</v>
      </c>
    </row>
    <row r="4" spans="1:27" x14ac:dyDescent="0.2">
      <c r="A4" t="s">
        <v>174</v>
      </c>
      <c r="B4" t="s">
        <v>21</v>
      </c>
      <c r="D4" t="s">
        <v>177</v>
      </c>
      <c r="E4" s="2" t="s">
        <v>274</v>
      </c>
      <c r="F4" s="2">
        <v>13.81598210525592</v>
      </c>
      <c r="G4" s="2" t="s">
        <v>274</v>
      </c>
      <c r="H4" s="2" t="s">
        <v>274</v>
      </c>
      <c r="I4" s="2">
        <v>50.975471194879901</v>
      </c>
      <c r="K4" t="s">
        <v>20</v>
      </c>
      <c r="L4" t="s">
        <v>21</v>
      </c>
      <c r="N4" t="s">
        <v>32</v>
      </c>
      <c r="O4">
        <v>232.61</v>
      </c>
      <c r="P4">
        <v>70.650000000000006</v>
      </c>
      <c r="Q4">
        <v>0.41</v>
      </c>
      <c r="R4">
        <v>440.31</v>
      </c>
      <c r="S4">
        <v>122.85</v>
      </c>
      <c r="U4" t="s">
        <v>23</v>
      </c>
      <c r="V4" t="s">
        <v>32</v>
      </c>
      <c r="W4" s="2">
        <v>2.1845343507499999</v>
      </c>
      <c r="X4" s="2">
        <v>5.2947890417499996</v>
      </c>
      <c r="Y4" s="2">
        <v>2.8487965839999996</v>
      </c>
      <c r="Z4" s="2">
        <v>44.474265700000004</v>
      </c>
      <c r="AA4" s="2">
        <v>22.685420643500002</v>
      </c>
    </row>
    <row r="5" spans="1:27" x14ac:dyDescent="0.2">
      <c r="A5" t="s">
        <v>174</v>
      </c>
      <c r="B5" t="s">
        <v>21</v>
      </c>
      <c r="D5" t="s">
        <v>178</v>
      </c>
      <c r="E5" s="2" t="s">
        <v>274</v>
      </c>
      <c r="F5" s="2" t="s">
        <v>274</v>
      </c>
      <c r="G5" s="2" t="s">
        <v>274</v>
      </c>
      <c r="H5" s="2" t="s">
        <v>274</v>
      </c>
      <c r="I5" s="2" t="s">
        <v>274</v>
      </c>
      <c r="K5" t="s">
        <v>20</v>
      </c>
      <c r="L5" t="s">
        <v>21</v>
      </c>
      <c r="N5" t="s">
        <v>37</v>
      </c>
      <c r="O5" t="s">
        <v>274</v>
      </c>
      <c r="P5" t="s">
        <v>274</v>
      </c>
      <c r="Q5" t="s">
        <v>274</v>
      </c>
      <c r="R5" t="s">
        <v>274</v>
      </c>
      <c r="S5" t="s">
        <v>274</v>
      </c>
      <c r="U5" t="s">
        <v>23</v>
      </c>
      <c r="V5" t="s">
        <v>37</v>
      </c>
      <c r="W5" s="2">
        <v>1.53</v>
      </c>
      <c r="X5" s="2">
        <v>12.405000000000001</v>
      </c>
      <c r="Y5" s="2">
        <v>11.36</v>
      </c>
      <c r="Z5" s="2">
        <v>58</v>
      </c>
      <c r="AA5" s="2">
        <v>67</v>
      </c>
    </row>
    <row r="6" spans="1:27" x14ac:dyDescent="0.2">
      <c r="A6" t="s">
        <v>174</v>
      </c>
      <c r="B6" t="s">
        <v>21</v>
      </c>
      <c r="C6" t="s">
        <v>180</v>
      </c>
      <c r="D6" t="s">
        <v>179</v>
      </c>
      <c r="E6" s="2">
        <v>13.254151311016315</v>
      </c>
      <c r="F6" s="2">
        <v>11.994250979573064</v>
      </c>
      <c r="G6" s="2">
        <v>0.90493014547647777</v>
      </c>
      <c r="H6" s="2">
        <v>44.181690932289094</v>
      </c>
      <c r="I6" s="2">
        <v>55.489506141278461</v>
      </c>
      <c r="K6" t="s">
        <v>20</v>
      </c>
      <c r="L6" t="s">
        <v>21</v>
      </c>
      <c r="M6" t="s">
        <v>38</v>
      </c>
      <c r="N6" t="s">
        <v>225</v>
      </c>
      <c r="O6">
        <v>13.03</v>
      </c>
      <c r="P6">
        <v>13.02</v>
      </c>
      <c r="Q6">
        <v>1.03</v>
      </c>
      <c r="R6">
        <v>54.5</v>
      </c>
      <c r="S6">
        <v>67.05</v>
      </c>
      <c r="U6" t="s">
        <v>23</v>
      </c>
      <c r="W6" s="2" t="s">
        <v>274</v>
      </c>
      <c r="X6" s="2" t="s">
        <v>274</v>
      </c>
      <c r="Y6" s="2" t="s">
        <v>274</v>
      </c>
      <c r="Z6" s="2" t="s">
        <v>274</v>
      </c>
      <c r="AA6" s="2" t="s">
        <v>274</v>
      </c>
    </row>
    <row r="7" spans="1:27" x14ac:dyDescent="0.2">
      <c r="A7" t="s">
        <v>174</v>
      </c>
      <c r="B7" t="s">
        <v>21</v>
      </c>
      <c r="C7" t="s">
        <v>180</v>
      </c>
      <c r="D7" t="s">
        <v>181</v>
      </c>
      <c r="E7" s="2">
        <v>15.397480927344979</v>
      </c>
      <c r="F7" s="2">
        <v>19.242438926176696</v>
      </c>
      <c r="G7" s="2">
        <v>1.2969963768765647</v>
      </c>
      <c r="H7" s="2">
        <v>46.832092263957477</v>
      </c>
      <c r="I7" s="2">
        <v>84.483023784233808</v>
      </c>
      <c r="K7" t="s">
        <v>20</v>
      </c>
      <c r="L7" t="s">
        <v>21</v>
      </c>
      <c r="M7" t="s">
        <v>39</v>
      </c>
      <c r="N7" s="1" t="s">
        <v>225</v>
      </c>
      <c r="O7">
        <v>40.79</v>
      </c>
      <c r="P7">
        <v>11.89</v>
      </c>
      <c r="Q7">
        <v>0.28999999999999998</v>
      </c>
      <c r="R7">
        <v>117.34</v>
      </c>
      <c r="S7">
        <v>64.5</v>
      </c>
      <c r="U7" t="s">
        <v>23</v>
      </c>
      <c r="W7" s="2" t="s">
        <v>274</v>
      </c>
      <c r="X7" s="2" t="s">
        <v>274</v>
      </c>
      <c r="Y7" s="2" t="s">
        <v>274</v>
      </c>
      <c r="Z7" s="2" t="s">
        <v>274</v>
      </c>
      <c r="AA7" s="2" t="s">
        <v>274</v>
      </c>
    </row>
    <row r="8" spans="1:27" x14ac:dyDescent="0.2">
      <c r="A8" t="s">
        <v>174</v>
      </c>
      <c r="B8" t="s">
        <v>21</v>
      </c>
      <c r="D8" t="s">
        <v>182</v>
      </c>
      <c r="E8" s="2" t="s">
        <v>274</v>
      </c>
      <c r="F8" s="2">
        <v>2.4097734806323068</v>
      </c>
      <c r="G8" s="2" t="s">
        <v>274</v>
      </c>
      <c r="H8" s="2" t="s">
        <v>274</v>
      </c>
      <c r="I8" s="2">
        <v>162.99102874458134</v>
      </c>
      <c r="K8" t="s">
        <v>20</v>
      </c>
      <c r="L8" t="s">
        <v>21</v>
      </c>
      <c r="N8" t="s">
        <v>40</v>
      </c>
      <c r="O8" t="s">
        <v>274</v>
      </c>
      <c r="P8">
        <v>0.19</v>
      </c>
      <c r="Q8" t="s">
        <v>274</v>
      </c>
      <c r="R8" t="s">
        <v>274</v>
      </c>
      <c r="S8">
        <v>54.96</v>
      </c>
      <c r="U8" t="s">
        <v>23</v>
      </c>
      <c r="V8" t="s">
        <v>40</v>
      </c>
      <c r="W8" s="2">
        <v>0.14351158850000001</v>
      </c>
      <c r="X8" s="2">
        <v>7.0816267500000002E-2</v>
      </c>
      <c r="Y8" s="2">
        <v>0.55308872050000002</v>
      </c>
      <c r="Z8" s="2">
        <v>78.813519310000004</v>
      </c>
      <c r="AA8" s="2">
        <v>33.223766769999997</v>
      </c>
    </row>
    <row r="9" spans="1:27" x14ac:dyDescent="0.2">
      <c r="A9" t="s">
        <v>174</v>
      </c>
      <c r="B9" t="s">
        <v>21</v>
      </c>
      <c r="D9" t="s">
        <v>183</v>
      </c>
      <c r="E9" s="2" t="s">
        <v>274</v>
      </c>
      <c r="F9" s="2">
        <v>10.094294279998484</v>
      </c>
      <c r="G9" s="2" t="s">
        <v>274</v>
      </c>
      <c r="H9" s="2" t="s">
        <v>274</v>
      </c>
      <c r="I9" s="2">
        <v>86.832927632019448</v>
      </c>
      <c r="K9" t="s">
        <v>20</v>
      </c>
      <c r="L9" t="s">
        <v>21</v>
      </c>
      <c r="N9" t="s">
        <v>43</v>
      </c>
      <c r="O9" t="s">
        <v>274</v>
      </c>
      <c r="P9">
        <v>5.68</v>
      </c>
      <c r="Q9" t="s">
        <v>274</v>
      </c>
      <c r="R9" t="s">
        <v>274</v>
      </c>
      <c r="S9">
        <v>66.540000000000006</v>
      </c>
      <c r="U9" t="s">
        <v>23</v>
      </c>
      <c r="V9" t="s">
        <v>43</v>
      </c>
      <c r="W9" s="2">
        <v>0.60499999999999998</v>
      </c>
      <c r="X9" s="2">
        <v>5.7050000000000001</v>
      </c>
      <c r="Y9" s="2">
        <v>9.375</v>
      </c>
      <c r="Z9" s="2">
        <v>73</v>
      </c>
      <c r="AA9" s="2">
        <v>48</v>
      </c>
    </row>
    <row r="10" spans="1:27" x14ac:dyDescent="0.2">
      <c r="A10" t="s">
        <v>174</v>
      </c>
      <c r="B10" t="s">
        <v>21</v>
      </c>
      <c r="D10" t="s">
        <v>184</v>
      </c>
      <c r="E10" s="2">
        <v>2.3249328672297063</v>
      </c>
      <c r="F10" s="2">
        <v>2.9144395394540843</v>
      </c>
      <c r="G10" s="2">
        <v>1.2744540782400287</v>
      </c>
      <c r="H10" s="2">
        <v>38.52700204755255</v>
      </c>
      <c r="I10" s="2">
        <v>55.5011920107452</v>
      </c>
      <c r="K10" t="s">
        <v>20</v>
      </c>
      <c r="L10" t="s">
        <v>21</v>
      </c>
      <c r="N10" t="s">
        <v>44</v>
      </c>
      <c r="O10">
        <v>1.79</v>
      </c>
      <c r="P10">
        <v>1.87</v>
      </c>
      <c r="Q10">
        <v>1.05</v>
      </c>
      <c r="R10">
        <v>38.799999999999997</v>
      </c>
      <c r="S10">
        <v>71.7</v>
      </c>
      <c r="U10" t="s">
        <v>23</v>
      </c>
      <c r="V10" t="s">
        <v>44</v>
      </c>
      <c r="W10" s="2">
        <v>0.33999999999999997</v>
      </c>
      <c r="X10" s="2">
        <v>1.32</v>
      </c>
      <c r="Y10" s="2">
        <v>3.9050000000000002</v>
      </c>
      <c r="Z10" s="2">
        <v>65.5</v>
      </c>
      <c r="AA10" s="2">
        <v>59.5</v>
      </c>
    </row>
    <row r="11" spans="1:27" x14ac:dyDescent="0.2">
      <c r="A11" t="s">
        <v>174</v>
      </c>
      <c r="B11" t="s">
        <v>21</v>
      </c>
      <c r="D11" t="s">
        <v>185</v>
      </c>
      <c r="E11" s="2">
        <v>17.774616882704013</v>
      </c>
      <c r="F11" s="2">
        <v>14.577106496003527</v>
      </c>
      <c r="G11" s="2">
        <v>0.82904880273672132</v>
      </c>
      <c r="H11" s="2">
        <v>49.731197410048694</v>
      </c>
      <c r="I11" s="2">
        <v>53.463811451748001</v>
      </c>
      <c r="K11" t="s">
        <v>20</v>
      </c>
      <c r="L11" t="s">
        <v>21</v>
      </c>
      <c r="N11" t="s">
        <v>47</v>
      </c>
      <c r="O11">
        <v>13.49</v>
      </c>
      <c r="P11">
        <v>9.74</v>
      </c>
      <c r="Q11">
        <v>0.74</v>
      </c>
      <c r="R11">
        <v>73.58</v>
      </c>
      <c r="S11">
        <v>67.97</v>
      </c>
      <c r="U11" t="s">
        <v>23</v>
      </c>
      <c r="V11" t="s">
        <v>47</v>
      </c>
      <c r="W11" s="2">
        <v>18.484999999999999</v>
      </c>
      <c r="X11" s="2">
        <v>23.795000000000002</v>
      </c>
      <c r="Y11" s="2">
        <v>1.2850000000000001</v>
      </c>
      <c r="Z11" s="2">
        <v>97</v>
      </c>
      <c r="AA11" s="2">
        <v>81.5</v>
      </c>
    </row>
    <row r="12" spans="1:27" x14ac:dyDescent="0.2">
      <c r="A12" t="s">
        <v>174</v>
      </c>
      <c r="B12" t="s">
        <v>21</v>
      </c>
      <c r="D12" t="s">
        <v>186</v>
      </c>
      <c r="E12" s="2">
        <v>8.7342046655491927</v>
      </c>
      <c r="F12" s="2">
        <v>21.552202390044542</v>
      </c>
      <c r="G12" s="2">
        <v>2.5443341985632815</v>
      </c>
      <c r="H12" s="2">
        <v>72.181704734723581</v>
      </c>
      <c r="I12" s="2">
        <v>69.273376452336819</v>
      </c>
      <c r="K12" t="s">
        <v>20</v>
      </c>
      <c r="L12" t="s">
        <v>21</v>
      </c>
      <c r="N12" t="s">
        <v>51</v>
      </c>
      <c r="O12">
        <v>9.18</v>
      </c>
      <c r="P12">
        <v>17.670000000000002</v>
      </c>
      <c r="Q12">
        <v>2.0099999999999998</v>
      </c>
      <c r="R12">
        <v>96.04</v>
      </c>
      <c r="S12">
        <v>76.37</v>
      </c>
      <c r="U12" t="s">
        <v>23</v>
      </c>
      <c r="V12" t="s">
        <v>51</v>
      </c>
      <c r="W12" s="2">
        <v>5.96</v>
      </c>
      <c r="X12" s="2">
        <v>17.149764630000004</v>
      </c>
      <c r="Y12" s="2">
        <v>2.939827578333333</v>
      </c>
      <c r="Z12" s="2">
        <v>75.333333333333329</v>
      </c>
      <c r="AA12" s="2">
        <v>74.666666666666671</v>
      </c>
    </row>
    <row r="13" spans="1:27" x14ac:dyDescent="0.2">
      <c r="A13" t="s">
        <v>174</v>
      </c>
      <c r="B13" t="s">
        <v>21</v>
      </c>
      <c r="D13" t="s">
        <v>187</v>
      </c>
      <c r="E13" s="2">
        <v>7.9996193438469501</v>
      </c>
      <c r="F13" s="2">
        <v>5.7273863341927918</v>
      </c>
      <c r="G13" s="2">
        <v>0.71708314784418825</v>
      </c>
      <c r="H13" s="2">
        <v>84.048259826305866</v>
      </c>
      <c r="I13" s="2">
        <v>69.252194081078073</v>
      </c>
      <c r="K13" t="s">
        <v>20</v>
      </c>
      <c r="L13" t="s">
        <v>21</v>
      </c>
      <c r="N13" t="s">
        <v>58</v>
      </c>
      <c r="O13" t="s">
        <v>274</v>
      </c>
      <c r="P13">
        <v>4.6100000000000003</v>
      </c>
      <c r="Q13" t="s">
        <v>274</v>
      </c>
      <c r="R13" t="s">
        <v>274</v>
      </c>
      <c r="S13">
        <v>76.02</v>
      </c>
      <c r="U13" t="s">
        <v>23</v>
      </c>
      <c r="V13" t="s">
        <v>58</v>
      </c>
      <c r="W13" s="2">
        <v>7.3666666666666663</v>
      </c>
      <c r="X13" s="2">
        <v>11.155000000000001</v>
      </c>
      <c r="Y13" s="2">
        <v>1.4533333333333331</v>
      </c>
      <c r="Z13" s="2">
        <v>80.260000000000005</v>
      </c>
      <c r="AA13" s="2">
        <v>67.983333333333334</v>
      </c>
    </row>
    <row r="14" spans="1:27" x14ac:dyDescent="0.2">
      <c r="A14" t="s">
        <v>174</v>
      </c>
      <c r="B14" t="s">
        <v>21</v>
      </c>
      <c r="D14" t="s">
        <v>188</v>
      </c>
      <c r="E14" s="2" t="s">
        <v>274</v>
      </c>
      <c r="F14" s="2">
        <v>17.856275268198303</v>
      </c>
      <c r="G14" s="2" t="s">
        <v>274</v>
      </c>
      <c r="H14" s="2" t="s">
        <v>274</v>
      </c>
      <c r="I14" s="2">
        <v>86.448375189327038</v>
      </c>
      <c r="K14" t="s">
        <v>20</v>
      </c>
      <c r="L14" t="s">
        <v>21</v>
      </c>
      <c r="N14" t="s">
        <v>61</v>
      </c>
      <c r="O14" t="s">
        <v>274</v>
      </c>
      <c r="P14" t="s">
        <v>274</v>
      </c>
      <c r="Q14" t="s">
        <v>274</v>
      </c>
      <c r="R14" t="s">
        <v>274</v>
      </c>
      <c r="S14" t="s">
        <v>274</v>
      </c>
      <c r="U14" t="s">
        <v>23</v>
      </c>
      <c r="V14" t="s">
        <v>61</v>
      </c>
      <c r="W14" s="2">
        <v>1.0249999999999999</v>
      </c>
      <c r="X14" s="2">
        <v>59.44</v>
      </c>
      <c r="Y14" s="2">
        <v>60.989999999999995</v>
      </c>
      <c r="Z14" s="2">
        <v>58.92</v>
      </c>
      <c r="AA14" s="2">
        <v>64.599999999999994</v>
      </c>
    </row>
    <row r="15" spans="1:27" x14ac:dyDescent="0.2">
      <c r="A15" t="s">
        <v>174</v>
      </c>
      <c r="B15" t="s">
        <v>21</v>
      </c>
      <c r="D15" t="s">
        <v>189</v>
      </c>
      <c r="E15" s="2" t="s">
        <v>274</v>
      </c>
      <c r="F15" s="2" t="s">
        <v>274</v>
      </c>
      <c r="G15" s="2" t="s">
        <v>274</v>
      </c>
      <c r="H15" s="2" t="s">
        <v>274</v>
      </c>
      <c r="I15" s="2" t="s">
        <v>274</v>
      </c>
      <c r="K15" t="s">
        <v>20</v>
      </c>
      <c r="L15" t="s">
        <v>21</v>
      </c>
      <c r="N15" t="s">
        <v>62</v>
      </c>
      <c r="O15">
        <v>204</v>
      </c>
      <c r="P15">
        <v>98.64</v>
      </c>
      <c r="Q15">
        <v>0.44</v>
      </c>
      <c r="R15">
        <v>356.19</v>
      </c>
      <c r="S15">
        <v>189.18</v>
      </c>
      <c r="U15" t="s">
        <v>23</v>
      </c>
      <c r="V15" t="s">
        <v>62</v>
      </c>
      <c r="W15" s="2" t="s">
        <v>274</v>
      </c>
      <c r="X15" s="2" t="s">
        <v>274</v>
      </c>
      <c r="Y15" s="2" t="s">
        <v>274</v>
      </c>
      <c r="Z15" s="2" t="s">
        <v>274</v>
      </c>
      <c r="AA15" s="2" t="s">
        <v>274</v>
      </c>
    </row>
    <row r="16" spans="1:27" x14ac:dyDescent="0.2">
      <c r="A16" t="s">
        <v>174</v>
      </c>
      <c r="B16" t="s">
        <v>21</v>
      </c>
      <c r="C16" t="s">
        <v>108</v>
      </c>
      <c r="D16" t="s">
        <v>190</v>
      </c>
      <c r="E16" s="2" t="s">
        <v>274</v>
      </c>
      <c r="F16" s="2">
        <v>5.1205591156909538</v>
      </c>
      <c r="G16" s="2" t="s">
        <v>274</v>
      </c>
      <c r="H16" s="2" t="s">
        <v>274</v>
      </c>
      <c r="I16" s="2">
        <v>66.763447714109432</v>
      </c>
      <c r="K16" t="s">
        <v>20</v>
      </c>
      <c r="L16" t="s">
        <v>21</v>
      </c>
      <c r="M16" t="s">
        <v>66</v>
      </c>
      <c r="N16" t="s">
        <v>224</v>
      </c>
      <c r="O16" t="s">
        <v>274</v>
      </c>
      <c r="P16">
        <v>2.96</v>
      </c>
      <c r="Q16" t="s">
        <v>274</v>
      </c>
      <c r="R16">
        <v>77.59</v>
      </c>
      <c r="S16">
        <v>67.7</v>
      </c>
      <c r="U16" t="s">
        <v>23</v>
      </c>
      <c r="W16" s="2" t="s">
        <v>274</v>
      </c>
      <c r="X16" s="2" t="s">
        <v>274</v>
      </c>
      <c r="Y16" s="2" t="s">
        <v>274</v>
      </c>
      <c r="Z16" s="2" t="s">
        <v>274</v>
      </c>
      <c r="AA16" s="2" t="s">
        <v>274</v>
      </c>
    </row>
    <row r="17" spans="1:27" x14ac:dyDescent="0.2">
      <c r="A17" t="s">
        <v>174</v>
      </c>
      <c r="B17" t="s">
        <v>21</v>
      </c>
      <c r="D17" t="s">
        <v>191</v>
      </c>
      <c r="E17" s="2">
        <v>14.416040684375282</v>
      </c>
      <c r="F17" s="2">
        <v>19.77402895906712</v>
      </c>
      <c r="G17" s="2">
        <v>1.3715403365691774</v>
      </c>
      <c r="H17" s="2">
        <v>81.591114615293179</v>
      </c>
      <c r="I17" s="2">
        <v>63.350081762991422</v>
      </c>
      <c r="K17" t="s">
        <v>20</v>
      </c>
      <c r="L17" t="s">
        <v>21</v>
      </c>
      <c r="N17" t="s">
        <v>67</v>
      </c>
      <c r="O17">
        <v>12.57</v>
      </c>
      <c r="P17">
        <v>15.63</v>
      </c>
      <c r="Q17">
        <v>1.24</v>
      </c>
      <c r="R17">
        <v>91.9</v>
      </c>
      <c r="S17">
        <v>67.650000000000006</v>
      </c>
      <c r="U17" t="s">
        <v>23</v>
      </c>
      <c r="V17" t="s">
        <v>67</v>
      </c>
      <c r="W17" s="2">
        <v>3.625</v>
      </c>
      <c r="X17" s="2">
        <v>11.245000000000001</v>
      </c>
      <c r="Y17" s="2">
        <v>3.12</v>
      </c>
      <c r="Z17" s="2">
        <v>64.5</v>
      </c>
      <c r="AA17" s="2">
        <v>57</v>
      </c>
    </row>
    <row r="18" spans="1:27" x14ac:dyDescent="0.2">
      <c r="A18" t="s">
        <v>174</v>
      </c>
      <c r="B18" t="s">
        <v>21</v>
      </c>
      <c r="D18" t="s">
        <v>192</v>
      </c>
      <c r="E18" s="2">
        <v>2.3499556224125451</v>
      </c>
      <c r="F18" s="2">
        <v>5.6963818549829597</v>
      </c>
      <c r="G18" s="2">
        <v>2.4400298301026666</v>
      </c>
      <c r="H18" s="2">
        <v>39.029368971979395</v>
      </c>
      <c r="I18" s="2">
        <v>47.491266424069309</v>
      </c>
      <c r="K18" t="s">
        <v>20</v>
      </c>
      <c r="L18" t="s">
        <v>21</v>
      </c>
      <c r="N18" t="s">
        <v>68</v>
      </c>
      <c r="O18">
        <v>2.46</v>
      </c>
      <c r="P18">
        <v>5.48</v>
      </c>
      <c r="Q18">
        <v>2.23</v>
      </c>
      <c r="R18">
        <v>38.18</v>
      </c>
      <c r="S18">
        <v>60.23</v>
      </c>
      <c r="U18" t="s">
        <v>23</v>
      </c>
      <c r="V18" t="s">
        <v>68</v>
      </c>
      <c r="W18" s="2">
        <v>0.63</v>
      </c>
      <c r="X18" s="2">
        <v>4.6449999999999996</v>
      </c>
      <c r="Y18" s="2">
        <v>14.979999999999999</v>
      </c>
      <c r="Z18" s="2">
        <v>50</v>
      </c>
      <c r="AA18" s="2">
        <v>56</v>
      </c>
    </row>
    <row r="19" spans="1:27" x14ac:dyDescent="0.2">
      <c r="A19" t="s">
        <v>174</v>
      </c>
      <c r="B19" t="s">
        <v>21</v>
      </c>
      <c r="C19" t="s">
        <v>109</v>
      </c>
      <c r="D19" t="s">
        <v>193</v>
      </c>
      <c r="E19" s="2">
        <v>4.3602765853568908</v>
      </c>
      <c r="F19" s="2">
        <v>19.869894440368846</v>
      </c>
      <c r="G19" s="2">
        <v>4.548036081906691</v>
      </c>
      <c r="H19" s="2">
        <v>45.743776535360283</v>
      </c>
      <c r="I19" s="2">
        <v>34.046891137664687</v>
      </c>
      <c r="K19" t="s">
        <v>20</v>
      </c>
      <c r="L19" t="s">
        <v>21</v>
      </c>
      <c r="M19" t="s">
        <v>69</v>
      </c>
      <c r="N19" t="s">
        <v>223</v>
      </c>
      <c r="O19">
        <v>3.08</v>
      </c>
      <c r="P19">
        <v>18.39</v>
      </c>
      <c r="Q19">
        <v>6.17</v>
      </c>
      <c r="R19">
        <v>54.62</v>
      </c>
      <c r="S19">
        <v>48.59</v>
      </c>
      <c r="U19" t="s">
        <v>23</v>
      </c>
      <c r="W19" s="2" t="s">
        <v>274</v>
      </c>
      <c r="X19" s="2" t="s">
        <v>274</v>
      </c>
      <c r="Y19" s="2" t="s">
        <v>274</v>
      </c>
      <c r="Z19" s="2" t="s">
        <v>274</v>
      </c>
      <c r="AA19" s="2" t="s">
        <v>274</v>
      </c>
    </row>
    <row r="20" spans="1:27" x14ac:dyDescent="0.2">
      <c r="A20" t="s">
        <v>174</v>
      </c>
      <c r="B20" t="s">
        <v>21</v>
      </c>
      <c r="D20" t="s">
        <v>194</v>
      </c>
      <c r="E20" s="2" t="s">
        <v>274</v>
      </c>
      <c r="F20" s="2">
        <v>13.80088849040601</v>
      </c>
      <c r="G20" s="2" t="s">
        <v>274</v>
      </c>
      <c r="H20" s="2" t="s">
        <v>274</v>
      </c>
      <c r="I20" s="2">
        <v>49.474405125839937</v>
      </c>
      <c r="K20" t="s">
        <v>20</v>
      </c>
      <c r="L20" t="s">
        <v>21</v>
      </c>
      <c r="N20" t="s">
        <v>70</v>
      </c>
      <c r="O20" t="s">
        <v>274</v>
      </c>
      <c r="P20">
        <v>22.45</v>
      </c>
      <c r="Q20" t="s">
        <v>274</v>
      </c>
      <c r="R20" t="s">
        <v>274</v>
      </c>
      <c r="S20">
        <v>67.709999999999994</v>
      </c>
      <c r="U20" t="s">
        <v>23</v>
      </c>
      <c r="V20" t="s">
        <v>70</v>
      </c>
      <c r="W20" s="2">
        <v>0.70500000000000007</v>
      </c>
      <c r="X20" s="2">
        <v>11.045000000000002</v>
      </c>
      <c r="Y20" s="2">
        <v>16.3</v>
      </c>
      <c r="Z20" s="2">
        <v>62.5</v>
      </c>
      <c r="AA20" s="2">
        <v>63.5</v>
      </c>
    </row>
    <row r="21" spans="1:27" x14ac:dyDescent="0.2">
      <c r="A21" t="s">
        <v>174</v>
      </c>
      <c r="B21" t="s">
        <v>21</v>
      </c>
      <c r="D21" t="s">
        <v>195</v>
      </c>
      <c r="E21" s="2" t="s">
        <v>274</v>
      </c>
      <c r="F21" s="2" t="s">
        <v>274</v>
      </c>
      <c r="G21" s="2" t="s">
        <v>274</v>
      </c>
      <c r="H21" s="2" t="s">
        <v>274</v>
      </c>
      <c r="I21" s="2" t="s">
        <v>274</v>
      </c>
      <c r="K21" t="s">
        <v>20</v>
      </c>
      <c r="L21" t="s">
        <v>21</v>
      </c>
      <c r="N21" t="s">
        <v>71</v>
      </c>
      <c r="O21" t="s">
        <v>274</v>
      </c>
      <c r="P21" t="s">
        <v>274</v>
      </c>
      <c r="Q21" t="s">
        <v>274</v>
      </c>
      <c r="R21" t="s">
        <v>274</v>
      </c>
      <c r="S21" t="s">
        <v>274</v>
      </c>
      <c r="U21" t="s">
        <v>23</v>
      </c>
      <c r="V21" t="s">
        <v>71</v>
      </c>
      <c r="W21" s="2">
        <v>0.13</v>
      </c>
      <c r="X21" s="2">
        <v>0.02</v>
      </c>
      <c r="Y21" s="2">
        <v>0.16</v>
      </c>
      <c r="Z21" s="2">
        <v>13.5</v>
      </c>
      <c r="AA21" s="2">
        <v>13</v>
      </c>
    </row>
    <row r="22" spans="1:27" x14ac:dyDescent="0.2">
      <c r="A22" t="s">
        <v>174</v>
      </c>
      <c r="B22" t="s">
        <v>21</v>
      </c>
      <c r="D22" t="s">
        <v>196</v>
      </c>
      <c r="E22" s="2">
        <v>5.4078642064529365</v>
      </c>
      <c r="F22" s="2">
        <v>7.3316142339786845</v>
      </c>
      <c r="G22" s="2">
        <v>1.3557462536483367</v>
      </c>
      <c r="H22" s="2">
        <v>75.22241069394056</v>
      </c>
      <c r="I22" s="2">
        <v>60.74201743847695</v>
      </c>
      <c r="K22" t="s">
        <v>20</v>
      </c>
      <c r="L22" t="s">
        <v>21</v>
      </c>
      <c r="N22" t="s">
        <v>72</v>
      </c>
      <c r="O22" t="s">
        <v>274</v>
      </c>
      <c r="P22">
        <v>5.66</v>
      </c>
      <c r="Q22" t="s">
        <v>274</v>
      </c>
      <c r="R22" t="s">
        <v>274</v>
      </c>
      <c r="S22">
        <v>54.61</v>
      </c>
      <c r="U22" t="s">
        <v>23</v>
      </c>
      <c r="V22" t="s">
        <v>72</v>
      </c>
      <c r="W22" s="2">
        <v>2.2549999999999999</v>
      </c>
      <c r="X22" s="2">
        <v>7.0350000000000001</v>
      </c>
      <c r="Y22" s="2">
        <v>3.1150000000000002</v>
      </c>
      <c r="Z22" s="2">
        <v>72.5</v>
      </c>
      <c r="AA22" s="2">
        <v>52.5</v>
      </c>
    </row>
    <row r="23" spans="1:27" x14ac:dyDescent="0.2">
      <c r="A23" t="s">
        <v>174</v>
      </c>
      <c r="B23" t="s">
        <v>21</v>
      </c>
      <c r="D23" t="s">
        <v>197</v>
      </c>
      <c r="E23" s="2">
        <v>6.0867145490159462</v>
      </c>
      <c r="F23" s="2">
        <v>16.544481358761846</v>
      </c>
      <c r="G23" s="2">
        <v>2.7548245862123864</v>
      </c>
      <c r="H23" s="2">
        <v>51.187254608752987</v>
      </c>
      <c r="I23" s="2">
        <v>61.224732763561462</v>
      </c>
      <c r="K23" t="s">
        <v>20</v>
      </c>
      <c r="L23" t="s">
        <v>21</v>
      </c>
      <c r="N23" t="s">
        <v>73</v>
      </c>
      <c r="O23" t="s">
        <v>274</v>
      </c>
      <c r="P23">
        <v>7.68</v>
      </c>
      <c r="Q23" t="s">
        <v>274</v>
      </c>
      <c r="R23" t="s">
        <v>274</v>
      </c>
      <c r="S23">
        <v>52.32</v>
      </c>
      <c r="U23" t="s">
        <v>23</v>
      </c>
      <c r="V23" t="s">
        <v>73</v>
      </c>
      <c r="W23" s="2">
        <v>7.5000000000000011E-2</v>
      </c>
      <c r="X23" s="2">
        <v>5.91</v>
      </c>
      <c r="Y23" s="2">
        <v>81.210000000000008</v>
      </c>
      <c r="Z23" s="2">
        <v>37.5</v>
      </c>
      <c r="AA23" s="2">
        <v>31</v>
      </c>
    </row>
    <row r="24" spans="1:27" x14ac:dyDescent="0.2">
      <c r="A24" t="s">
        <v>174</v>
      </c>
      <c r="B24" t="s">
        <v>21</v>
      </c>
      <c r="D24" t="s">
        <v>198</v>
      </c>
      <c r="E24" s="2" t="s">
        <v>274</v>
      </c>
      <c r="F24" s="2">
        <v>5.0717067835682736E-2</v>
      </c>
      <c r="G24" s="2" t="s">
        <v>274</v>
      </c>
      <c r="H24" s="2" t="s">
        <v>274</v>
      </c>
      <c r="I24" s="2">
        <v>62.607513435126336</v>
      </c>
      <c r="K24" t="s">
        <v>20</v>
      </c>
      <c r="L24" t="s">
        <v>21</v>
      </c>
      <c r="N24" t="s">
        <v>74</v>
      </c>
      <c r="O24" t="s">
        <v>274</v>
      </c>
      <c r="P24">
        <v>0.11</v>
      </c>
      <c r="Q24" t="s">
        <v>274</v>
      </c>
      <c r="R24" t="s">
        <v>274</v>
      </c>
      <c r="S24">
        <v>60.93</v>
      </c>
      <c r="U24" t="s">
        <v>23</v>
      </c>
      <c r="V24" t="s">
        <v>74</v>
      </c>
      <c r="W24" s="2">
        <v>0.4</v>
      </c>
      <c r="X24" s="2">
        <v>16.795000000000002</v>
      </c>
      <c r="Y24" s="2">
        <v>43.85</v>
      </c>
      <c r="Z24" s="2">
        <v>80</v>
      </c>
      <c r="AA24" s="2">
        <v>69.5</v>
      </c>
    </row>
    <row r="25" spans="1:27" x14ac:dyDescent="0.2">
      <c r="A25" t="s">
        <v>174</v>
      </c>
      <c r="B25" t="s">
        <v>21</v>
      </c>
      <c r="D25" t="s">
        <v>199</v>
      </c>
      <c r="E25" s="2" t="s">
        <v>274</v>
      </c>
      <c r="F25" s="2">
        <v>5.1532765579411492</v>
      </c>
      <c r="G25" s="2" t="s">
        <v>274</v>
      </c>
      <c r="H25" s="2" t="s">
        <v>274</v>
      </c>
      <c r="I25" s="2">
        <v>94.85625821748387</v>
      </c>
      <c r="K25" t="s">
        <v>20</v>
      </c>
      <c r="L25" t="s">
        <v>21</v>
      </c>
      <c r="N25" t="s">
        <v>76</v>
      </c>
      <c r="O25" t="s">
        <v>274</v>
      </c>
      <c r="P25" t="s">
        <v>274</v>
      </c>
      <c r="Q25" t="s">
        <v>274</v>
      </c>
      <c r="R25" t="s">
        <v>274</v>
      </c>
      <c r="S25" t="s">
        <v>274</v>
      </c>
      <c r="U25" t="s">
        <v>23</v>
      </c>
      <c r="V25" t="s">
        <v>76</v>
      </c>
      <c r="W25" s="2" t="s">
        <v>274</v>
      </c>
      <c r="X25" s="2">
        <v>1.575</v>
      </c>
      <c r="Y25" s="2" t="s">
        <v>274</v>
      </c>
      <c r="Z25" s="2" t="s">
        <v>274</v>
      </c>
      <c r="AA25" s="2">
        <v>51</v>
      </c>
    </row>
    <row r="26" spans="1:27" x14ac:dyDescent="0.2">
      <c r="A26" t="s">
        <v>174</v>
      </c>
      <c r="B26" t="s">
        <v>21</v>
      </c>
      <c r="D26" t="s">
        <v>200</v>
      </c>
      <c r="E26" s="2" t="s">
        <v>274</v>
      </c>
      <c r="F26" s="2">
        <v>2.0533662556296104</v>
      </c>
      <c r="G26" s="2" t="s">
        <v>274</v>
      </c>
      <c r="H26" s="2" t="s">
        <v>274</v>
      </c>
      <c r="I26" s="2">
        <v>62.797375643362457</v>
      </c>
      <c r="K26" t="s">
        <v>20</v>
      </c>
      <c r="L26" t="s">
        <v>21</v>
      </c>
      <c r="N26" t="s">
        <v>77</v>
      </c>
      <c r="O26">
        <v>1.39</v>
      </c>
      <c r="P26">
        <v>1.0900000000000001</v>
      </c>
      <c r="Q26">
        <v>0.79</v>
      </c>
      <c r="R26">
        <v>56.27</v>
      </c>
      <c r="S26">
        <v>62.31</v>
      </c>
      <c r="U26" t="s">
        <v>23</v>
      </c>
      <c r="V26" t="s">
        <v>77</v>
      </c>
      <c r="W26" s="2">
        <v>0.22</v>
      </c>
      <c r="X26" s="2">
        <v>1.5899999999999999</v>
      </c>
      <c r="Y26" s="2">
        <v>9.25</v>
      </c>
      <c r="Z26" s="2">
        <v>54.5</v>
      </c>
      <c r="AA26" s="2">
        <v>60</v>
      </c>
    </row>
    <row r="27" spans="1:27" x14ac:dyDescent="0.2">
      <c r="A27" t="s">
        <v>174</v>
      </c>
      <c r="B27" t="s">
        <v>21</v>
      </c>
      <c r="D27" t="s">
        <v>201</v>
      </c>
      <c r="E27" s="2" t="s">
        <v>274</v>
      </c>
      <c r="F27" s="2" t="s">
        <v>274</v>
      </c>
      <c r="G27" s="2" t="s">
        <v>274</v>
      </c>
      <c r="H27" s="2" t="s">
        <v>274</v>
      </c>
      <c r="I27" s="2" t="s">
        <v>274</v>
      </c>
      <c r="K27" t="s">
        <v>20</v>
      </c>
      <c r="L27" t="s">
        <v>21</v>
      </c>
      <c r="N27" t="s">
        <v>78</v>
      </c>
      <c r="O27" t="s">
        <v>274</v>
      </c>
      <c r="P27" t="s">
        <v>274</v>
      </c>
      <c r="Q27" t="s">
        <v>274</v>
      </c>
      <c r="R27" t="s">
        <v>274</v>
      </c>
      <c r="S27" t="s">
        <v>274</v>
      </c>
      <c r="U27" t="s">
        <v>23</v>
      </c>
      <c r="V27" t="s">
        <v>78</v>
      </c>
      <c r="W27" s="2">
        <v>0.21000000000000002</v>
      </c>
      <c r="X27" s="2">
        <v>7.7099999999999991</v>
      </c>
      <c r="Y27" s="2">
        <v>42.375</v>
      </c>
      <c r="Z27" s="2">
        <v>77</v>
      </c>
      <c r="AA27" s="2">
        <v>74</v>
      </c>
    </row>
    <row r="28" spans="1:27" x14ac:dyDescent="0.2">
      <c r="A28" t="s">
        <v>174</v>
      </c>
      <c r="B28" t="s">
        <v>21</v>
      </c>
      <c r="D28" t="s">
        <v>202</v>
      </c>
      <c r="E28" s="2" t="s">
        <v>274</v>
      </c>
      <c r="F28" s="2">
        <v>30.014449024303431</v>
      </c>
      <c r="G28" s="2" t="s">
        <v>274</v>
      </c>
      <c r="H28" s="2" t="s">
        <v>274</v>
      </c>
      <c r="I28" s="2">
        <v>72.612628883461142</v>
      </c>
      <c r="K28" t="s">
        <v>20</v>
      </c>
      <c r="L28" t="s">
        <v>21</v>
      </c>
      <c r="N28" t="s">
        <v>79</v>
      </c>
      <c r="O28">
        <v>8.89</v>
      </c>
      <c r="P28">
        <v>28.82</v>
      </c>
      <c r="Q28">
        <v>3.25</v>
      </c>
      <c r="R28">
        <v>93.09</v>
      </c>
      <c r="S28">
        <v>86.24</v>
      </c>
      <c r="U28" t="s">
        <v>23</v>
      </c>
      <c r="V28" t="s">
        <v>79</v>
      </c>
      <c r="W28" s="2">
        <v>0.27999999999999997</v>
      </c>
      <c r="X28" s="2">
        <v>26.745000000000001</v>
      </c>
      <c r="Y28" s="2">
        <v>104.785</v>
      </c>
      <c r="Z28" s="2">
        <v>74.5</v>
      </c>
      <c r="AA28" s="2">
        <v>66.5</v>
      </c>
    </row>
    <row r="29" spans="1:27" x14ac:dyDescent="0.2">
      <c r="A29" t="s">
        <v>174</v>
      </c>
      <c r="B29" t="s">
        <v>21</v>
      </c>
      <c r="D29" t="s">
        <v>203</v>
      </c>
      <c r="E29" s="2" t="s">
        <v>274</v>
      </c>
      <c r="F29" s="2" t="s">
        <v>274</v>
      </c>
      <c r="G29" s="2" t="s">
        <v>274</v>
      </c>
      <c r="H29" s="2" t="s">
        <v>274</v>
      </c>
      <c r="I29" s="2" t="s">
        <v>274</v>
      </c>
      <c r="K29" t="s">
        <v>20</v>
      </c>
      <c r="L29" t="s">
        <v>21</v>
      </c>
      <c r="N29" t="s">
        <v>80</v>
      </c>
      <c r="O29">
        <v>1.03</v>
      </c>
      <c r="P29">
        <v>4.7</v>
      </c>
      <c r="Q29">
        <v>5.28</v>
      </c>
      <c r="R29">
        <v>28.15</v>
      </c>
      <c r="S29">
        <v>57.33</v>
      </c>
      <c r="U29" t="s">
        <v>23</v>
      </c>
      <c r="V29" t="s">
        <v>80</v>
      </c>
      <c r="W29" s="2">
        <v>5.36</v>
      </c>
      <c r="X29" s="2">
        <v>10.600000000000001</v>
      </c>
      <c r="Y29" s="2">
        <v>1.9950000000000001</v>
      </c>
      <c r="Z29" s="2">
        <v>77</v>
      </c>
      <c r="AA29" s="2">
        <v>62</v>
      </c>
    </row>
    <row r="30" spans="1:27" x14ac:dyDescent="0.2">
      <c r="A30" t="s">
        <v>174</v>
      </c>
      <c r="B30" t="s">
        <v>21</v>
      </c>
      <c r="D30" t="s">
        <v>204</v>
      </c>
      <c r="E30" s="2">
        <v>0.38857850190465132</v>
      </c>
      <c r="F30" s="2">
        <v>2.7920337660629677</v>
      </c>
      <c r="G30" s="2">
        <v>6.8673538305517523</v>
      </c>
      <c r="H30" s="2">
        <v>40.254413702431421</v>
      </c>
      <c r="I30" s="2" t="s">
        <v>274</v>
      </c>
      <c r="K30" t="s">
        <v>20</v>
      </c>
      <c r="L30" t="s">
        <v>21</v>
      </c>
      <c r="N30" t="s">
        <v>81</v>
      </c>
      <c r="O30">
        <v>0.84</v>
      </c>
      <c r="P30">
        <v>7.48</v>
      </c>
      <c r="Q30">
        <v>8.86</v>
      </c>
      <c r="R30">
        <v>51.55</v>
      </c>
      <c r="S30">
        <v>106.89</v>
      </c>
      <c r="U30" t="s">
        <v>23</v>
      </c>
      <c r="V30" t="s">
        <v>81</v>
      </c>
      <c r="W30" s="2">
        <v>0.28000000000000003</v>
      </c>
      <c r="X30" s="2">
        <v>4.37</v>
      </c>
      <c r="Y30" s="2">
        <v>15.925000000000001</v>
      </c>
      <c r="Z30" s="2">
        <v>61</v>
      </c>
      <c r="AA30" s="2">
        <v>67.5</v>
      </c>
    </row>
    <row r="31" spans="1:27" x14ac:dyDescent="0.2">
      <c r="A31" t="s">
        <v>174</v>
      </c>
      <c r="B31" t="s">
        <v>21</v>
      </c>
      <c r="D31" t="s">
        <v>205</v>
      </c>
      <c r="E31" s="2">
        <v>28.839628404011258</v>
      </c>
      <c r="F31" s="2">
        <v>33.369495973110247</v>
      </c>
      <c r="G31" s="2">
        <v>1.1811952035061808</v>
      </c>
      <c r="H31" s="2">
        <v>88.173662331776228</v>
      </c>
      <c r="I31" s="2">
        <v>72.268444325542731</v>
      </c>
      <c r="K31" t="s">
        <v>20</v>
      </c>
      <c r="L31" t="s">
        <v>21</v>
      </c>
      <c r="N31" t="s">
        <v>84</v>
      </c>
      <c r="O31">
        <v>10.23</v>
      </c>
      <c r="P31">
        <v>13.25</v>
      </c>
      <c r="Q31">
        <v>1.51</v>
      </c>
      <c r="R31">
        <v>54.09</v>
      </c>
      <c r="S31">
        <v>36.76</v>
      </c>
      <c r="U31" t="s">
        <v>23</v>
      </c>
      <c r="V31" t="s">
        <v>84</v>
      </c>
      <c r="W31" s="2">
        <v>12.52</v>
      </c>
      <c r="X31" s="2">
        <v>18.975000000000001</v>
      </c>
      <c r="Y31" s="2">
        <v>1.51</v>
      </c>
      <c r="Z31" s="2">
        <v>73</v>
      </c>
      <c r="AA31" s="2">
        <v>57</v>
      </c>
    </row>
    <row r="32" spans="1:27" x14ac:dyDescent="0.2">
      <c r="A32" t="s">
        <v>174</v>
      </c>
      <c r="B32" t="s">
        <v>21</v>
      </c>
      <c r="D32" t="s">
        <v>206</v>
      </c>
      <c r="E32" s="2">
        <v>2.2685618353244736</v>
      </c>
      <c r="F32" s="2">
        <v>22.238224395792841</v>
      </c>
      <c r="G32" s="2">
        <v>12.34884042327541</v>
      </c>
      <c r="H32" s="2">
        <v>78.456954944399897</v>
      </c>
      <c r="I32" s="2">
        <v>48.518719494303426</v>
      </c>
      <c r="K32" t="s">
        <v>20</v>
      </c>
      <c r="L32" t="s">
        <v>21</v>
      </c>
      <c r="N32" t="s">
        <v>85</v>
      </c>
      <c r="O32" t="s">
        <v>274</v>
      </c>
      <c r="P32">
        <v>23.45</v>
      </c>
      <c r="Q32" t="s">
        <v>274</v>
      </c>
      <c r="R32" t="s">
        <v>274</v>
      </c>
      <c r="S32">
        <v>70.58</v>
      </c>
      <c r="U32" t="s">
        <v>23</v>
      </c>
      <c r="V32" t="s">
        <v>85</v>
      </c>
      <c r="W32" s="2">
        <v>1.335</v>
      </c>
      <c r="X32" s="2">
        <v>25.130000000000003</v>
      </c>
      <c r="Y32" s="2">
        <v>18.844999999999999</v>
      </c>
      <c r="Z32" s="2">
        <v>70.5</v>
      </c>
      <c r="AA32" s="2">
        <v>68</v>
      </c>
    </row>
    <row r="33" spans="1:27" x14ac:dyDescent="0.2">
      <c r="A33" t="s">
        <v>174</v>
      </c>
      <c r="B33" t="s">
        <v>21</v>
      </c>
      <c r="D33" t="s">
        <v>207</v>
      </c>
      <c r="E33" s="2" t="s">
        <v>274</v>
      </c>
      <c r="F33" s="2">
        <v>0.22173530946576775</v>
      </c>
      <c r="G33" s="2" t="s">
        <v>274</v>
      </c>
      <c r="H33" s="2" t="s">
        <v>274</v>
      </c>
      <c r="I33" s="2">
        <v>36.862806680011488</v>
      </c>
      <c r="K33" t="s">
        <v>20</v>
      </c>
      <c r="L33" t="s">
        <v>21</v>
      </c>
      <c r="N33" t="s">
        <v>86</v>
      </c>
      <c r="O33" t="s">
        <v>274</v>
      </c>
      <c r="P33">
        <v>0.38</v>
      </c>
      <c r="Q33" t="s">
        <v>274</v>
      </c>
      <c r="R33" t="s">
        <v>274</v>
      </c>
      <c r="S33">
        <v>46.18</v>
      </c>
      <c r="U33" t="s">
        <v>23</v>
      </c>
      <c r="V33" t="s">
        <v>86</v>
      </c>
      <c r="W33" s="2" t="s">
        <v>274</v>
      </c>
      <c r="X33" s="2" t="s">
        <v>274</v>
      </c>
      <c r="Y33" s="2" t="s">
        <v>274</v>
      </c>
      <c r="Z33" s="2" t="s">
        <v>274</v>
      </c>
      <c r="AA33" s="2" t="s">
        <v>274</v>
      </c>
    </row>
    <row r="34" spans="1:27" x14ac:dyDescent="0.2">
      <c r="A34" t="s">
        <v>174</v>
      </c>
      <c r="B34" t="s">
        <v>21</v>
      </c>
      <c r="D34" t="s">
        <v>208</v>
      </c>
      <c r="E34" s="2" t="s">
        <v>274</v>
      </c>
      <c r="F34" s="2">
        <v>0.29851493897688319</v>
      </c>
      <c r="G34" s="2" t="s">
        <v>274</v>
      </c>
      <c r="H34" s="2" t="s">
        <v>274</v>
      </c>
      <c r="I34" s="2" t="s">
        <v>274</v>
      </c>
      <c r="K34" t="s">
        <v>20</v>
      </c>
      <c r="L34" t="s">
        <v>21</v>
      </c>
      <c r="N34" t="s">
        <v>87</v>
      </c>
      <c r="O34">
        <v>1.3</v>
      </c>
      <c r="P34">
        <v>0.68</v>
      </c>
      <c r="Q34">
        <v>0.52</v>
      </c>
      <c r="R34">
        <v>53.59</v>
      </c>
      <c r="S34">
        <v>59.51</v>
      </c>
      <c r="U34" t="s">
        <v>23</v>
      </c>
      <c r="V34" t="s">
        <v>87</v>
      </c>
      <c r="W34" s="2">
        <v>8.0599999999999987</v>
      </c>
      <c r="X34" s="2">
        <v>3.3966666666666669</v>
      </c>
      <c r="Y34" s="2">
        <v>1.034</v>
      </c>
      <c r="Z34" s="2">
        <v>58.236000000000011</v>
      </c>
      <c r="AA34" s="2">
        <v>43.544999999999995</v>
      </c>
    </row>
    <row r="35" spans="1:27" x14ac:dyDescent="0.2">
      <c r="A35" t="s">
        <v>174</v>
      </c>
      <c r="B35" t="s">
        <v>21</v>
      </c>
      <c r="D35" t="s">
        <v>209</v>
      </c>
      <c r="E35" s="2" t="s">
        <v>274</v>
      </c>
      <c r="F35" s="2" t="s">
        <v>274</v>
      </c>
      <c r="G35" s="2" t="s">
        <v>274</v>
      </c>
      <c r="H35" s="2" t="s">
        <v>274</v>
      </c>
      <c r="I35" s="2" t="s">
        <v>274</v>
      </c>
      <c r="K35" t="s">
        <v>20</v>
      </c>
      <c r="L35" t="s">
        <v>21</v>
      </c>
      <c r="N35" t="s">
        <v>89</v>
      </c>
      <c r="O35" t="s">
        <v>274</v>
      </c>
      <c r="P35" t="s">
        <v>274</v>
      </c>
      <c r="Q35" t="s">
        <v>274</v>
      </c>
      <c r="R35" t="s">
        <v>274</v>
      </c>
      <c r="S35" t="s">
        <v>274</v>
      </c>
      <c r="U35" t="s">
        <v>23</v>
      </c>
      <c r="V35" t="s">
        <v>89</v>
      </c>
      <c r="W35" s="2" t="s">
        <v>274</v>
      </c>
      <c r="X35" s="2" t="s">
        <v>274</v>
      </c>
      <c r="Y35" s="2" t="s">
        <v>274</v>
      </c>
      <c r="Z35" s="2" t="s">
        <v>274</v>
      </c>
      <c r="AA35" s="2" t="s">
        <v>274</v>
      </c>
    </row>
    <row r="36" spans="1:27" x14ac:dyDescent="0.2">
      <c r="A36" t="s">
        <v>174</v>
      </c>
      <c r="B36" t="s">
        <v>21</v>
      </c>
      <c r="D36" t="s">
        <v>210</v>
      </c>
      <c r="E36" s="2">
        <v>6.1843819459190081</v>
      </c>
      <c r="F36" s="2" t="s">
        <v>274</v>
      </c>
      <c r="G36" s="2" t="s">
        <v>274</v>
      </c>
      <c r="H36" s="2" t="s">
        <v>274</v>
      </c>
      <c r="I36" s="2" t="s">
        <v>274</v>
      </c>
      <c r="K36" t="s">
        <v>20</v>
      </c>
      <c r="L36" t="s">
        <v>21</v>
      </c>
      <c r="N36" t="s">
        <v>90</v>
      </c>
      <c r="O36" t="s">
        <v>274</v>
      </c>
      <c r="P36">
        <v>0.1</v>
      </c>
      <c r="Q36" t="s">
        <v>274</v>
      </c>
      <c r="R36" t="s">
        <v>274</v>
      </c>
      <c r="S36">
        <v>69.540000000000006</v>
      </c>
      <c r="U36" t="s">
        <v>23</v>
      </c>
      <c r="V36" t="s">
        <v>90</v>
      </c>
      <c r="W36" s="2" t="s">
        <v>274</v>
      </c>
      <c r="X36" s="2">
        <v>0.37</v>
      </c>
      <c r="Y36" s="2" t="s">
        <v>274</v>
      </c>
      <c r="Z36" s="2" t="s">
        <v>274</v>
      </c>
      <c r="AA36" s="2">
        <v>45.5</v>
      </c>
    </row>
    <row r="37" spans="1:27" x14ac:dyDescent="0.2">
      <c r="A37" t="s">
        <v>174</v>
      </c>
      <c r="B37" t="s">
        <v>21</v>
      </c>
      <c r="D37" t="s">
        <v>211</v>
      </c>
      <c r="E37" s="2">
        <v>1.059298377441356</v>
      </c>
      <c r="F37" s="2">
        <v>34.515578411943949</v>
      </c>
      <c r="G37" s="2">
        <v>35.510060907741988</v>
      </c>
      <c r="H37" s="2">
        <v>64.543451999019538</v>
      </c>
      <c r="I37" s="2">
        <v>80.351543712895321</v>
      </c>
      <c r="K37" t="s">
        <v>20</v>
      </c>
      <c r="L37" t="s">
        <v>21</v>
      </c>
      <c r="N37" t="s">
        <v>91</v>
      </c>
      <c r="O37">
        <v>0.36</v>
      </c>
      <c r="P37">
        <v>9.06</v>
      </c>
      <c r="Q37">
        <v>27.8</v>
      </c>
      <c r="R37">
        <v>67.88</v>
      </c>
      <c r="S37">
        <v>52.74</v>
      </c>
      <c r="U37" t="s">
        <v>23</v>
      </c>
      <c r="V37" t="s">
        <v>91</v>
      </c>
      <c r="W37" s="2">
        <v>0.54500000000000004</v>
      </c>
      <c r="X37" s="2">
        <v>13.149999999999999</v>
      </c>
      <c r="Y37" s="2">
        <v>24.189999999999998</v>
      </c>
      <c r="Z37" s="2">
        <v>59.5</v>
      </c>
      <c r="AA37" s="2">
        <v>66.5</v>
      </c>
    </row>
    <row r="38" spans="1:27" x14ac:dyDescent="0.2">
      <c r="A38" t="s">
        <v>174</v>
      </c>
      <c r="B38" t="s">
        <v>21</v>
      </c>
      <c r="D38" t="s">
        <v>212</v>
      </c>
      <c r="E38" s="2" t="s">
        <v>274</v>
      </c>
      <c r="F38" s="2">
        <v>0.39814031844408881</v>
      </c>
      <c r="G38" s="2" t="s">
        <v>274</v>
      </c>
      <c r="H38" s="2" t="s">
        <v>274</v>
      </c>
      <c r="I38" s="2">
        <v>18.450909690837697</v>
      </c>
      <c r="K38" t="s">
        <v>20</v>
      </c>
      <c r="L38" t="s">
        <v>21</v>
      </c>
      <c r="N38" t="s">
        <v>92</v>
      </c>
      <c r="O38" t="s">
        <v>274</v>
      </c>
      <c r="P38" t="s">
        <v>274</v>
      </c>
      <c r="Q38" t="s">
        <v>274</v>
      </c>
      <c r="R38" t="s">
        <v>274</v>
      </c>
      <c r="S38" t="s">
        <v>274</v>
      </c>
      <c r="U38" t="s">
        <v>23</v>
      </c>
      <c r="V38" t="s">
        <v>92</v>
      </c>
      <c r="W38" s="2" t="s">
        <v>274</v>
      </c>
      <c r="X38" s="2" t="s">
        <v>274</v>
      </c>
      <c r="Y38" s="2" t="s">
        <v>274</v>
      </c>
      <c r="Z38" s="2" t="s">
        <v>274</v>
      </c>
      <c r="AA38" s="2" t="s">
        <v>274</v>
      </c>
    </row>
    <row r="39" spans="1:27" x14ac:dyDescent="0.2">
      <c r="A39" t="s">
        <v>174</v>
      </c>
      <c r="B39" t="s">
        <v>21</v>
      </c>
      <c r="D39" t="s">
        <v>213</v>
      </c>
      <c r="E39" s="2" t="s">
        <v>274</v>
      </c>
      <c r="F39" s="2" t="s">
        <v>274</v>
      </c>
      <c r="G39" s="2" t="s">
        <v>274</v>
      </c>
      <c r="H39" s="2" t="s">
        <v>274</v>
      </c>
      <c r="I39" s="2" t="s">
        <v>274</v>
      </c>
      <c r="K39" t="s">
        <v>20</v>
      </c>
      <c r="L39" t="s">
        <v>21</v>
      </c>
      <c r="N39" t="s">
        <v>93</v>
      </c>
      <c r="O39" t="s">
        <v>274</v>
      </c>
      <c r="P39" t="s">
        <v>274</v>
      </c>
      <c r="Q39" t="s">
        <v>274</v>
      </c>
      <c r="R39" t="s">
        <v>274</v>
      </c>
      <c r="S39" t="s">
        <v>274</v>
      </c>
      <c r="U39" t="s">
        <v>23</v>
      </c>
      <c r="V39" t="s">
        <v>93</v>
      </c>
      <c r="W39" s="2" t="s">
        <v>274</v>
      </c>
      <c r="X39" s="2" t="s">
        <v>274</v>
      </c>
      <c r="Y39" s="2" t="s">
        <v>274</v>
      </c>
      <c r="Z39" s="2" t="s">
        <v>274</v>
      </c>
      <c r="AA39" s="2" t="s">
        <v>274</v>
      </c>
    </row>
    <row r="40" spans="1:27" x14ac:dyDescent="0.2">
      <c r="A40" t="s">
        <v>174</v>
      </c>
      <c r="B40" t="s">
        <v>21</v>
      </c>
      <c r="D40" t="s">
        <v>214</v>
      </c>
      <c r="E40" s="2" t="s">
        <v>274</v>
      </c>
      <c r="F40" s="2">
        <v>6.1218025973390002</v>
      </c>
      <c r="G40" s="2" t="s">
        <v>274</v>
      </c>
      <c r="H40" s="2" t="s">
        <v>274</v>
      </c>
      <c r="I40" s="2">
        <v>62.630542978452468</v>
      </c>
      <c r="K40" t="s">
        <v>20</v>
      </c>
      <c r="L40" t="s">
        <v>21</v>
      </c>
      <c r="N40" t="s">
        <v>94</v>
      </c>
      <c r="O40" t="s">
        <v>274</v>
      </c>
      <c r="P40">
        <v>6.5</v>
      </c>
      <c r="Q40" t="s">
        <v>274</v>
      </c>
      <c r="R40" t="s">
        <v>274</v>
      </c>
      <c r="S40">
        <v>73.72</v>
      </c>
      <c r="U40" t="s">
        <v>23</v>
      </c>
      <c r="V40" t="s">
        <v>94</v>
      </c>
      <c r="W40" s="2" t="s">
        <v>274</v>
      </c>
      <c r="X40" s="2">
        <v>3.63</v>
      </c>
      <c r="Y40" s="2" t="s">
        <v>274</v>
      </c>
      <c r="Z40" s="2" t="s">
        <v>274</v>
      </c>
      <c r="AA40" s="2">
        <v>57.5</v>
      </c>
    </row>
    <row r="41" spans="1:27" x14ac:dyDescent="0.2">
      <c r="A41" t="s">
        <v>174</v>
      </c>
      <c r="B41" t="s">
        <v>21</v>
      </c>
      <c r="D41" t="s">
        <v>215</v>
      </c>
      <c r="E41" s="2">
        <v>4.4709795398697976</v>
      </c>
      <c r="F41" s="2">
        <v>17.721007297238707</v>
      </c>
      <c r="G41" s="2">
        <v>9.3669716195728139</v>
      </c>
      <c r="H41" s="2">
        <v>82.173602172768824</v>
      </c>
      <c r="I41" s="2">
        <v>73.206311291075167</v>
      </c>
      <c r="K41" t="s">
        <v>20</v>
      </c>
      <c r="L41" t="s">
        <v>21</v>
      </c>
      <c r="N41" t="s">
        <v>95</v>
      </c>
      <c r="O41">
        <v>3.6</v>
      </c>
      <c r="P41">
        <v>9.3800000000000008</v>
      </c>
      <c r="Q41">
        <v>3.02</v>
      </c>
      <c r="R41">
        <v>96.51</v>
      </c>
      <c r="S41">
        <v>74.42</v>
      </c>
      <c r="U41" t="s">
        <v>23</v>
      </c>
      <c r="V41" t="s">
        <v>95</v>
      </c>
      <c r="W41" s="2" t="s">
        <v>274</v>
      </c>
      <c r="X41" s="2">
        <v>14.914999999999999</v>
      </c>
      <c r="Y41" s="2" t="s">
        <v>274</v>
      </c>
      <c r="Z41" s="2" t="s">
        <v>274</v>
      </c>
      <c r="AA41" s="2">
        <v>73.5</v>
      </c>
    </row>
    <row r="42" spans="1:27" x14ac:dyDescent="0.2">
      <c r="A42" t="s">
        <v>174</v>
      </c>
      <c r="B42" t="s">
        <v>21</v>
      </c>
      <c r="D42" t="s">
        <v>216</v>
      </c>
      <c r="E42" s="2" t="s">
        <v>274</v>
      </c>
      <c r="F42" s="2" t="s">
        <v>274</v>
      </c>
      <c r="G42" s="2" t="s">
        <v>274</v>
      </c>
      <c r="H42" s="2" t="s">
        <v>274</v>
      </c>
      <c r="I42" s="2" t="s">
        <v>274</v>
      </c>
      <c r="K42" t="s">
        <v>20</v>
      </c>
      <c r="L42" t="s">
        <v>21</v>
      </c>
      <c r="N42" t="s">
        <v>96</v>
      </c>
      <c r="O42" t="s">
        <v>274</v>
      </c>
      <c r="P42">
        <v>5.37</v>
      </c>
      <c r="Q42" t="s">
        <v>274</v>
      </c>
      <c r="R42" t="s">
        <v>274</v>
      </c>
      <c r="S42">
        <v>54.19</v>
      </c>
      <c r="U42" t="s">
        <v>23</v>
      </c>
      <c r="V42" t="s">
        <v>96</v>
      </c>
      <c r="W42" s="2">
        <v>2.2149999999999999</v>
      </c>
      <c r="X42" s="2">
        <v>32.659999999999997</v>
      </c>
      <c r="Y42" s="2">
        <v>14.745000000000001</v>
      </c>
      <c r="Z42" s="2">
        <v>43.034999999999997</v>
      </c>
      <c r="AA42" s="2">
        <v>69.5</v>
      </c>
    </row>
    <row r="43" spans="1:27" x14ac:dyDescent="0.2">
      <c r="A43" t="s">
        <v>174</v>
      </c>
      <c r="B43" t="s">
        <v>21</v>
      </c>
      <c r="D43" t="s">
        <v>217</v>
      </c>
      <c r="E43" s="2">
        <v>2.1902992930402081</v>
      </c>
      <c r="F43" s="2">
        <v>19.771706232469661</v>
      </c>
      <c r="G43" s="2">
        <v>12.41103108888753</v>
      </c>
      <c r="H43" s="2">
        <v>36.007166224475476</v>
      </c>
      <c r="I43" s="2">
        <v>60.03438390091592</v>
      </c>
      <c r="K43" t="s">
        <v>20</v>
      </c>
      <c r="L43" t="s">
        <v>21</v>
      </c>
      <c r="N43" t="s">
        <v>97</v>
      </c>
      <c r="O43">
        <v>4.13</v>
      </c>
      <c r="P43">
        <v>8.82</v>
      </c>
      <c r="Q43">
        <v>2.2000000000000002</v>
      </c>
      <c r="R43">
        <v>47.48</v>
      </c>
      <c r="S43">
        <v>31.53</v>
      </c>
      <c r="U43" t="s">
        <v>23</v>
      </c>
      <c r="V43" t="s">
        <v>97</v>
      </c>
      <c r="W43" s="2" t="s">
        <v>274</v>
      </c>
      <c r="X43" s="2">
        <v>10.274999999999999</v>
      </c>
      <c r="Y43" s="2" t="s">
        <v>274</v>
      </c>
      <c r="Z43" s="2" t="s">
        <v>274</v>
      </c>
      <c r="AA43" s="2">
        <v>60</v>
      </c>
    </row>
    <row r="44" spans="1:27" x14ac:dyDescent="0.2">
      <c r="A44" t="s">
        <v>174</v>
      </c>
      <c r="B44" t="s">
        <v>21</v>
      </c>
      <c r="D44" t="s">
        <v>218</v>
      </c>
      <c r="E44" s="2">
        <v>3.9676162983015582</v>
      </c>
      <c r="F44" s="2">
        <v>10.426634870470661</v>
      </c>
      <c r="G44" s="2">
        <v>2.6255567846802959</v>
      </c>
      <c r="H44" s="2">
        <v>54.906477921895387</v>
      </c>
      <c r="I44" s="2">
        <v>60.732729620253018</v>
      </c>
      <c r="K44" t="s">
        <v>20</v>
      </c>
      <c r="L44" t="s">
        <v>21</v>
      </c>
      <c r="N44" t="s">
        <v>98</v>
      </c>
      <c r="O44">
        <v>2.23</v>
      </c>
      <c r="P44">
        <v>10.74</v>
      </c>
      <c r="Q44">
        <v>4.9000000000000004</v>
      </c>
      <c r="R44">
        <v>65.87</v>
      </c>
      <c r="S44">
        <v>50.43</v>
      </c>
      <c r="U44" t="s">
        <v>23</v>
      </c>
      <c r="V44" t="s">
        <v>98</v>
      </c>
      <c r="W44" s="2">
        <v>2.4950000000000001</v>
      </c>
      <c r="X44" s="2">
        <v>12.675000000000001</v>
      </c>
      <c r="Y44" s="2">
        <v>5.3100000000000005</v>
      </c>
      <c r="Z44" s="2">
        <v>67</v>
      </c>
      <c r="AA44" s="2">
        <v>69.5</v>
      </c>
    </row>
    <row r="45" spans="1:27" x14ac:dyDescent="0.2">
      <c r="A45" t="s">
        <v>174</v>
      </c>
      <c r="B45" t="s">
        <v>21</v>
      </c>
      <c r="D45" t="s">
        <v>219</v>
      </c>
      <c r="E45" s="2">
        <v>1.1187643725522514</v>
      </c>
      <c r="F45" s="2">
        <v>12.502687678017686</v>
      </c>
      <c r="G45" s="2">
        <v>11.5023333101432</v>
      </c>
      <c r="H45" s="2">
        <v>77.361359502347852</v>
      </c>
      <c r="I45" s="2">
        <v>67.199481609981703</v>
      </c>
      <c r="K45" t="s">
        <v>20</v>
      </c>
      <c r="L45" t="s">
        <v>21</v>
      </c>
      <c r="N45" t="s">
        <v>99</v>
      </c>
      <c r="O45">
        <v>1.47</v>
      </c>
      <c r="P45">
        <v>8.9499999999999993</v>
      </c>
      <c r="Q45">
        <v>6.14</v>
      </c>
      <c r="R45">
        <v>96.38</v>
      </c>
      <c r="S45">
        <v>75.19</v>
      </c>
      <c r="U45" t="s">
        <v>23</v>
      </c>
      <c r="V45" t="s">
        <v>99</v>
      </c>
      <c r="W45" s="2">
        <v>38.674999999999997</v>
      </c>
      <c r="X45" s="2">
        <v>13.63</v>
      </c>
      <c r="Y45" s="2">
        <v>0.35499999999999998</v>
      </c>
      <c r="Z45" s="2">
        <v>125.5</v>
      </c>
      <c r="AA45" s="2">
        <v>67.5</v>
      </c>
    </row>
    <row r="46" spans="1:27" x14ac:dyDescent="0.2">
      <c r="A46" t="s">
        <v>174</v>
      </c>
      <c r="B46" t="s">
        <v>21</v>
      </c>
      <c r="D46" t="s">
        <v>220</v>
      </c>
      <c r="E46" s="2" t="s">
        <v>274</v>
      </c>
      <c r="F46" s="2">
        <v>23.01602687400268</v>
      </c>
      <c r="G46" s="2" t="s">
        <v>274</v>
      </c>
      <c r="H46" s="2" t="s">
        <v>274</v>
      </c>
      <c r="I46" s="2">
        <v>51.710582383043288</v>
      </c>
      <c r="K46" t="s">
        <v>20</v>
      </c>
      <c r="L46" t="s">
        <v>21</v>
      </c>
      <c r="N46" t="s">
        <v>100</v>
      </c>
      <c r="O46">
        <v>229.8</v>
      </c>
      <c r="P46">
        <v>34.479999999999997</v>
      </c>
      <c r="Q46">
        <v>0.17</v>
      </c>
      <c r="R46">
        <v>418.85</v>
      </c>
      <c r="S46">
        <v>67.48</v>
      </c>
      <c r="U46" t="s">
        <v>23</v>
      </c>
      <c r="V46" t="s">
        <v>100</v>
      </c>
      <c r="W46" s="2">
        <v>4.29</v>
      </c>
      <c r="X46" s="2">
        <v>12.04</v>
      </c>
      <c r="Y46" s="2">
        <v>3.2849999999999997</v>
      </c>
      <c r="Z46" s="2">
        <v>74</v>
      </c>
      <c r="AA46" s="2">
        <v>44</v>
      </c>
    </row>
    <row r="47" spans="1:27" x14ac:dyDescent="0.2">
      <c r="A47" t="s">
        <v>174</v>
      </c>
      <c r="B47" t="s">
        <v>21</v>
      </c>
      <c r="D47" t="s">
        <v>221</v>
      </c>
      <c r="E47" s="2" t="s">
        <v>274</v>
      </c>
      <c r="F47" s="2">
        <v>0.75078645977741909</v>
      </c>
      <c r="G47" s="2" t="s">
        <v>274</v>
      </c>
      <c r="H47" s="2" t="s">
        <v>274</v>
      </c>
      <c r="I47" s="2">
        <v>58.365465427546553</v>
      </c>
      <c r="K47" t="s">
        <v>20</v>
      </c>
      <c r="L47" t="s">
        <v>21</v>
      </c>
      <c r="N47" t="s">
        <v>101</v>
      </c>
      <c r="O47">
        <v>0.16</v>
      </c>
      <c r="P47">
        <v>0.26</v>
      </c>
      <c r="Q47">
        <v>1.56</v>
      </c>
      <c r="R47">
        <v>61.15</v>
      </c>
      <c r="S47">
        <v>70.989999999999995</v>
      </c>
      <c r="U47" t="s">
        <v>23</v>
      </c>
      <c r="V47" t="s">
        <v>101</v>
      </c>
      <c r="W47" s="2">
        <v>1.5175000000000001</v>
      </c>
      <c r="X47" s="2">
        <v>9.1300000000000008</v>
      </c>
      <c r="Y47" s="2">
        <v>6.7250000000000005</v>
      </c>
      <c r="Z47" s="2">
        <v>53</v>
      </c>
      <c r="AA47" s="2">
        <v>54.5</v>
      </c>
    </row>
    <row r="48" spans="1:27" x14ac:dyDescent="0.2">
      <c r="A48" t="s">
        <v>174</v>
      </c>
      <c r="B48" t="s">
        <v>21</v>
      </c>
      <c r="D48" t="s">
        <v>222</v>
      </c>
      <c r="E48" s="2">
        <v>3.1872794769851427</v>
      </c>
      <c r="F48" s="2">
        <v>17.979591793063115</v>
      </c>
      <c r="G48" s="2">
        <v>5.7891420590002109</v>
      </c>
      <c r="H48" s="2">
        <v>105.401945732868</v>
      </c>
      <c r="I48" s="2">
        <v>65.822874434636134</v>
      </c>
      <c r="K48" t="s">
        <v>20</v>
      </c>
      <c r="L48" t="s">
        <v>21</v>
      </c>
      <c r="N48" t="s">
        <v>102</v>
      </c>
      <c r="O48">
        <v>1.55</v>
      </c>
      <c r="P48">
        <v>15.08</v>
      </c>
      <c r="Q48">
        <v>9.93</v>
      </c>
      <c r="R48">
        <v>98.61</v>
      </c>
      <c r="S48">
        <v>70.569999999999993</v>
      </c>
      <c r="U48" t="s">
        <v>23</v>
      </c>
      <c r="V48" t="s">
        <v>102</v>
      </c>
      <c r="W48" s="2">
        <v>2.5177380334999997</v>
      </c>
      <c r="X48" s="2">
        <v>31.599763443499999</v>
      </c>
      <c r="Y48" s="2">
        <v>21.265193900299998</v>
      </c>
      <c r="Z48" s="2">
        <v>81.122565934999997</v>
      </c>
      <c r="AA48" s="2">
        <v>55.120514467999996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09E2-D8FE-CC41-8E9C-1A3FFB5C0CD8}">
  <dimension ref="A1:AG48"/>
  <sheetViews>
    <sheetView zoomScale="96" workbookViewId="0">
      <selection activeCell="AG26" sqref="AG26"/>
    </sheetView>
  </sheetViews>
  <sheetFormatPr baseColWidth="10" defaultColWidth="8.83203125" defaultRowHeight="15" x14ac:dyDescent="0.2"/>
  <cols>
    <col min="28" max="28" width="19.83203125" bestFit="1" customWidth="1"/>
    <col min="29" max="29" width="19" bestFit="1" customWidth="1"/>
    <col min="30" max="30" width="19.83203125" bestFit="1" customWidth="1"/>
    <col min="31" max="31" width="19" bestFit="1" customWidth="1"/>
    <col min="32" max="32" width="17.83203125" bestFit="1" customWidth="1"/>
    <col min="33" max="33" width="17" bestFit="1" customWidth="1"/>
  </cols>
  <sheetData>
    <row r="1" spans="1:33" x14ac:dyDescent="0.2">
      <c r="A1" t="s">
        <v>0</v>
      </c>
      <c r="B1" t="s">
        <v>276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J1" t="s">
        <v>300</v>
      </c>
      <c r="K1" t="s">
        <v>284</v>
      </c>
      <c r="L1" t="s">
        <v>285</v>
      </c>
      <c r="M1" t="s">
        <v>286</v>
      </c>
      <c r="N1" t="s">
        <v>287</v>
      </c>
      <c r="O1" t="s">
        <v>288</v>
      </c>
      <c r="P1" t="s">
        <v>289</v>
      </c>
      <c r="Q1" t="s">
        <v>290</v>
      </c>
      <c r="R1" t="s">
        <v>291</v>
      </c>
      <c r="S1" t="s">
        <v>292</v>
      </c>
      <c r="T1" t="s">
        <v>301</v>
      </c>
      <c r="U1" t="s">
        <v>293</v>
      </c>
      <c r="V1" t="s">
        <v>294</v>
      </c>
      <c r="W1" t="s">
        <v>295</v>
      </c>
      <c r="X1" t="s">
        <v>296</v>
      </c>
      <c r="Y1" t="s">
        <v>297</v>
      </c>
      <c r="Z1" t="s">
        <v>298</v>
      </c>
      <c r="AA1" t="s">
        <v>299</v>
      </c>
      <c r="AB1" t="s">
        <v>302</v>
      </c>
      <c r="AC1" t="s">
        <v>303</v>
      </c>
      <c r="AD1" t="s">
        <v>304</v>
      </c>
      <c r="AE1" t="s">
        <v>305</v>
      </c>
      <c r="AF1" t="s">
        <v>306</v>
      </c>
      <c r="AG1" t="s">
        <v>307</v>
      </c>
    </row>
    <row r="2" spans="1:33" x14ac:dyDescent="0.2">
      <c r="A2" t="s">
        <v>174</v>
      </c>
      <c r="B2" t="s">
        <v>21</v>
      </c>
      <c r="D2" t="s">
        <v>175</v>
      </c>
      <c r="F2">
        <v>1.035355981559638</v>
      </c>
      <c r="I2">
        <v>21.296849133105169</v>
      </c>
      <c r="K2" t="s">
        <v>20</v>
      </c>
      <c r="L2" t="s">
        <v>21</v>
      </c>
      <c r="N2" t="s">
        <v>22</v>
      </c>
      <c r="P2">
        <v>0.69</v>
      </c>
      <c r="S2">
        <v>14.39</v>
      </c>
      <c r="U2" t="s">
        <v>23</v>
      </c>
      <c r="V2" t="s">
        <v>22</v>
      </c>
      <c r="W2">
        <v>6.31</v>
      </c>
      <c r="X2">
        <v>4.7675000000000001</v>
      </c>
      <c r="Y2">
        <v>9.7799999999999994</v>
      </c>
      <c r="Z2">
        <v>76.399999999999991</v>
      </c>
      <c r="AA2">
        <v>67.37</v>
      </c>
      <c r="AB2" t="s">
        <v>308</v>
      </c>
      <c r="AC2" t="s">
        <v>308</v>
      </c>
      <c r="AD2" t="s">
        <v>275</v>
      </c>
      <c r="AE2" t="s">
        <v>275</v>
      </c>
      <c r="AF2" t="s">
        <v>308</v>
      </c>
      <c r="AG2" t="s">
        <v>308</v>
      </c>
    </row>
    <row r="3" spans="1:33" x14ac:dyDescent="0.2">
      <c r="A3" t="s">
        <v>174</v>
      </c>
      <c r="B3" t="s">
        <v>21</v>
      </c>
      <c r="D3" t="s">
        <v>176</v>
      </c>
      <c r="E3">
        <v>14.75986486369403</v>
      </c>
      <c r="F3">
        <v>16.377504119800371</v>
      </c>
      <c r="G3">
        <v>1.1055067242276111</v>
      </c>
      <c r="H3">
        <v>63.779624728849541</v>
      </c>
      <c r="I3">
        <v>56.357399583561147</v>
      </c>
      <c r="K3" t="s">
        <v>20</v>
      </c>
      <c r="L3" t="s">
        <v>21</v>
      </c>
      <c r="N3" t="s">
        <v>29</v>
      </c>
      <c r="O3">
        <v>10.84</v>
      </c>
      <c r="P3">
        <v>9.26</v>
      </c>
      <c r="Q3">
        <v>0.86</v>
      </c>
      <c r="R3">
        <v>75.34</v>
      </c>
      <c r="S3">
        <v>61.21</v>
      </c>
      <c r="U3" t="s">
        <v>23</v>
      </c>
      <c r="V3" t="s">
        <v>29</v>
      </c>
      <c r="W3">
        <v>9.9775000000000009</v>
      </c>
      <c r="X3">
        <v>39.98749999999999</v>
      </c>
      <c r="Y3">
        <v>3.6375000000000002</v>
      </c>
      <c r="Z3">
        <v>66.672499999999999</v>
      </c>
      <c r="AA3">
        <v>68.542500000000004</v>
      </c>
      <c r="AB3" t="s">
        <v>275</v>
      </c>
      <c r="AC3" t="s">
        <v>275</v>
      </c>
      <c r="AD3" t="s">
        <v>275</v>
      </c>
      <c r="AE3" t="s">
        <v>308</v>
      </c>
      <c r="AF3" t="s">
        <v>275</v>
      </c>
      <c r="AG3" t="s">
        <v>275</v>
      </c>
    </row>
    <row r="4" spans="1:33" x14ac:dyDescent="0.2">
      <c r="A4" t="s">
        <v>174</v>
      </c>
      <c r="B4" t="s">
        <v>21</v>
      </c>
      <c r="D4" t="s">
        <v>177</v>
      </c>
      <c r="F4">
        <v>13.81598210525592</v>
      </c>
      <c r="I4">
        <v>50.975471194879901</v>
      </c>
      <c r="K4" t="s">
        <v>20</v>
      </c>
      <c r="L4" t="s">
        <v>21</v>
      </c>
      <c r="N4" t="s">
        <v>32</v>
      </c>
      <c r="O4">
        <v>232.61</v>
      </c>
      <c r="P4">
        <v>70.650000000000006</v>
      </c>
      <c r="Q4">
        <v>0.41</v>
      </c>
      <c r="R4">
        <v>440.31</v>
      </c>
      <c r="S4">
        <v>122.85</v>
      </c>
      <c r="U4" t="s">
        <v>23</v>
      </c>
      <c r="V4" t="s">
        <v>32</v>
      </c>
      <c r="W4">
        <v>2.1845343507499999</v>
      </c>
      <c r="X4">
        <v>5.2947890417499996</v>
      </c>
      <c r="Y4">
        <v>2.848796584</v>
      </c>
      <c r="Z4">
        <v>44.474265699999997</v>
      </c>
      <c r="AA4">
        <v>22.685420643499999</v>
      </c>
      <c r="AB4" t="s">
        <v>308</v>
      </c>
      <c r="AC4" t="s">
        <v>308</v>
      </c>
      <c r="AD4" t="s">
        <v>308</v>
      </c>
      <c r="AE4" t="s">
        <v>308</v>
      </c>
      <c r="AF4" t="s">
        <v>308</v>
      </c>
      <c r="AG4" t="s">
        <v>308</v>
      </c>
    </row>
    <row r="5" spans="1:33" x14ac:dyDescent="0.2">
      <c r="A5" t="s">
        <v>174</v>
      </c>
      <c r="B5" t="s">
        <v>21</v>
      </c>
      <c r="D5" t="s">
        <v>178</v>
      </c>
      <c r="K5" t="s">
        <v>20</v>
      </c>
      <c r="L5" t="s">
        <v>21</v>
      </c>
      <c r="N5" t="s">
        <v>37</v>
      </c>
      <c r="U5" t="s">
        <v>23</v>
      </c>
      <c r="V5" t="s">
        <v>37</v>
      </c>
      <c r="W5">
        <v>1.53</v>
      </c>
      <c r="X5">
        <v>12.404999999999999</v>
      </c>
      <c r="Y5">
        <v>11.36</v>
      </c>
      <c r="Z5">
        <v>58</v>
      </c>
      <c r="AA5">
        <v>67</v>
      </c>
      <c r="AB5" t="s">
        <v>308</v>
      </c>
      <c r="AC5" t="s">
        <v>308</v>
      </c>
      <c r="AD5" t="s">
        <v>308</v>
      </c>
      <c r="AE5" t="s">
        <v>308</v>
      </c>
      <c r="AF5" t="s">
        <v>308</v>
      </c>
      <c r="AG5" t="s">
        <v>308</v>
      </c>
    </row>
    <row r="6" spans="1:33" x14ac:dyDescent="0.2">
      <c r="A6" t="s">
        <v>174</v>
      </c>
      <c r="B6" t="s">
        <v>21</v>
      </c>
      <c r="C6" t="s">
        <v>180</v>
      </c>
      <c r="D6" t="s">
        <v>179</v>
      </c>
      <c r="E6">
        <v>13.25415131101632</v>
      </c>
      <c r="F6">
        <v>11.99425097957306</v>
      </c>
      <c r="G6">
        <v>0.90493014547647777</v>
      </c>
      <c r="H6">
        <v>44.181690932289087</v>
      </c>
      <c r="I6">
        <v>55.489506141278461</v>
      </c>
      <c r="K6" t="s">
        <v>20</v>
      </c>
      <c r="L6" t="s">
        <v>21</v>
      </c>
      <c r="M6" t="s">
        <v>38</v>
      </c>
      <c r="N6" t="s">
        <v>225</v>
      </c>
      <c r="O6">
        <v>13.03</v>
      </c>
      <c r="P6">
        <v>13.02</v>
      </c>
      <c r="Q6">
        <v>1.03</v>
      </c>
      <c r="R6">
        <v>54.5</v>
      </c>
      <c r="S6">
        <v>67.05</v>
      </c>
      <c r="U6" t="s">
        <v>23</v>
      </c>
      <c r="AB6" t="s">
        <v>275</v>
      </c>
      <c r="AC6" t="s">
        <v>308</v>
      </c>
      <c r="AD6" t="s">
        <v>275</v>
      </c>
      <c r="AE6" t="s">
        <v>308</v>
      </c>
      <c r="AF6" t="s">
        <v>275</v>
      </c>
      <c r="AG6" t="s">
        <v>308</v>
      </c>
    </row>
    <row r="7" spans="1:33" x14ac:dyDescent="0.2">
      <c r="A7" t="s">
        <v>174</v>
      </c>
      <c r="B7" t="s">
        <v>21</v>
      </c>
      <c r="C7" t="s">
        <v>180</v>
      </c>
      <c r="D7" t="s">
        <v>181</v>
      </c>
      <c r="E7">
        <v>15.397480927344979</v>
      </c>
      <c r="F7">
        <v>19.2424389261767</v>
      </c>
      <c r="G7">
        <v>1.2969963768765651</v>
      </c>
      <c r="H7">
        <v>46.832092263957477</v>
      </c>
      <c r="I7">
        <v>84.483023784233808</v>
      </c>
      <c r="K7" t="s">
        <v>20</v>
      </c>
      <c r="L7" t="s">
        <v>21</v>
      </c>
      <c r="M7" t="s">
        <v>39</v>
      </c>
      <c r="N7" t="s">
        <v>225</v>
      </c>
      <c r="O7">
        <v>40.79</v>
      </c>
      <c r="P7">
        <v>11.89</v>
      </c>
      <c r="Q7">
        <v>0.28999999999999998</v>
      </c>
      <c r="R7">
        <v>117.34</v>
      </c>
      <c r="S7">
        <v>64.5</v>
      </c>
      <c r="U7" t="s">
        <v>23</v>
      </c>
      <c r="AB7" t="s">
        <v>308</v>
      </c>
      <c r="AC7" t="s">
        <v>308</v>
      </c>
      <c r="AD7" t="s">
        <v>275</v>
      </c>
      <c r="AE7" t="s">
        <v>308</v>
      </c>
      <c r="AF7" t="s">
        <v>275</v>
      </c>
      <c r="AG7" t="s">
        <v>308</v>
      </c>
    </row>
    <row r="8" spans="1:33" x14ac:dyDescent="0.2">
      <c r="A8" t="s">
        <v>174</v>
      </c>
      <c r="B8" t="s">
        <v>21</v>
      </c>
      <c r="D8" t="s">
        <v>182</v>
      </c>
      <c r="F8">
        <v>2.4097734806323068</v>
      </c>
      <c r="I8">
        <v>162.99102874458131</v>
      </c>
      <c r="K8" t="s">
        <v>20</v>
      </c>
      <c r="L8" t="s">
        <v>21</v>
      </c>
      <c r="N8" t="s">
        <v>40</v>
      </c>
      <c r="P8">
        <v>0.19</v>
      </c>
      <c r="S8">
        <v>54.96</v>
      </c>
      <c r="U8" t="s">
        <v>23</v>
      </c>
      <c r="V8" t="s">
        <v>40</v>
      </c>
      <c r="W8">
        <v>0.14351158850000001</v>
      </c>
      <c r="X8">
        <v>7.0816267500000002E-2</v>
      </c>
      <c r="Y8">
        <v>0.55308872050000002</v>
      </c>
      <c r="Z8">
        <v>78.813519310000004</v>
      </c>
      <c r="AA8">
        <v>33.223766769999997</v>
      </c>
      <c r="AB8" t="s">
        <v>308</v>
      </c>
      <c r="AC8" t="s">
        <v>308</v>
      </c>
      <c r="AD8" t="s">
        <v>275</v>
      </c>
      <c r="AE8" t="s">
        <v>275</v>
      </c>
      <c r="AF8" t="s">
        <v>308</v>
      </c>
      <c r="AG8" t="s">
        <v>308</v>
      </c>
    </row>
    <row r="9" spans="1:33" x14ac:dyDescent="0.2">
      <c r="A9" t="s">
        <v>174</v>
      </c>
      <c r="B9" t="s">
        <v>21</v>
      </c>
      <c r="D9" t="s">
        <v>183</v>
      </c>
      <c r="F9">
        <v>10.094294279998479</v>
      </c>
      <c r="I9">
        <v>86.832927632019448</v>
      </c>
      <c r="K9" t="s">
        <v>20</v>
      </c>
      <c r="L9" t="s">
        <v>21</v>
      </c>
      <c r="N9" t="s">
        <v>43</v>
      </c>
      <c r="P9">
        <v>5.68</v>
      </c>
      <c r="S9">
        <v>66.540000000000006</v>
      </c>
      <c r="U9" t="s">
        <v>23</v>
      </c>
      <c r="V9" t="s">
        <v>43</v>
      </c>
      <c r="W9">
        <v>0.60499999999999998</v>
      </c>
      <c r="X9">
        <v>5.7050000000000001</v>
      </c>
      <c r="Y9">
        <v>9.375</v>
      </c>
      <c r="Z9">
        <v>73</v>
      </c>
      <c r="AA9">
        <v>48</v>
      </c>
      <c r="AB9" t="s">
        <v>308</v>
      </c>
      <c r="AC9" t="s">
        <v>308</v>
      </c>
      <c r="AD9" t="s">
        <v>275</v>
      </c>
      <c r="AE9" t="s">
        <v>275</v>
      </c>
      <c r="AF9" t="s">
        <v>308</v>
      </c>
      <c r="AG9" t="s">
        <v>308</v>
      </c>
    </row>
    <row r="10" spans="1:33" x14ac:dyDescent="0.2">
      <c r="A10" t="s">
        <v>174</v>
      </c>
      <c r="B10" t="s">
        <v>21</v>
      </c>
      <c r="D10" t="s">
        <v>184</v>
      </c>
      <c r="E10">
        <v>2.3249328672297058</v>
      </c>
      <c r="F10">
        <v>2.9144395394540838</v>
      </c>
      <c r="G10">
        <v>1.2744540782400291</v>
      </c>
      <c r="H10">
        <v>38.52700204755255</v>
      </c>
      <c r="I10">
        <v>55.5011920107452</v>
      </c>
      <c r="K10" t="s">
        <v>20</v>
      </c>
      <c r="L10" t="s">
        <v>21</v>
      </c>
      <c r="N10" t="s">
        <v>44</v>
      </c>
      <c r="O10">
        <v>1.79</v>
      </c>
      <c r="P10">
        <v>1.87</v>
      </c>
      <c r="Q10">
        <v>1.05</v>
      </c>
      <c r="R10">
        <v>38.799999999999997</v>
      </c>
      <c r="S10">
        <v>71.7</v>
      </c>
      <c r="U10" t="s">
        <v>23</v>
      </c>
      <c r="V10" t="s">
        <v>44</v>
      </c>
      <c r="W10">
        <v>0.34</v>
      </c>
      <c r="X10">
        <v>1.32</v>
      </c>
      <c r="Y10">
        <v>3.9049999999999998</v>
      </c>
      <c r="Z10">
        <v>65.5</v>
      </c>
      <c r="AA10">
        <v>59.5</v>
      </c>
      <c r="AB10" t="s">
        <v>275</v>
      </c>
      <c r="AC10" t="s">
        <v>275</v>
      </c>
      <c r="AD10" t="s">
        <v>275</v>
      </c>
      <c r="AE10" t="s">
        <v>275</v>
      </c>
      <c r="AF10" t="s">
        <v>275</v>
      </c>
      <c r="AG10" t="s">
        <v>275</v>
      </c>
    </row>
    <row r="11" spans="1:33" x14ac:dyDescent="0.2">
      <c r="A11" t="s">
        <v>174</v>
      </c>
      <c r="B11" t="s">
        <v>21</v>
      </c>
      <c r="D11" t="s">
        <v>185</v>
      </c>
      <c r="E11">
        <v>17.774616882704009</v>
      </c>
      <c r="F11">
        <v>14.57710649600353</v>
      </c>
      <c r="G11">
        <v>0.82904880273672132</v>
      </c>
      <c r="H11">
        <v>49.731197410048694</v>
      </c>
      <c r="I11">
        <v>53.463811451748001</v>
      </c>
      <c r="K11" t="s">
        <v>20</v>
      </c>
      <c r="L11" t="s">
        <v>21</v>
      </c>
      <c r="N11" t="s">
        <v>47</v>
      </c>
      <c r="O11">
        <v>13.49</v>
      </c>
      <c r="P11">
        <v>9.74</v>
      </c>
      <c r="Q11">
        <v>0.74</v>
      </c>
      <c r="R11">
        <v>73.58</v>
      </c>
      <c r="S11">
        <v>67.97</v>
      </c>
      <c r="U11" t="s">
        <v>23</v>
      </c>
      <c r="V11" t="s">
        <v>47</v>
      </c>
      <c r="W11">
        <v>18.484999999999999</v>
      </c>
      <c r="X11">
        <v>23.795000000000002</v>
      </c>
      <c r="Y11">
        <v>1.2849999999999999</v>
      </c>
      <c r="Z11">
        <v>97</v>
      </c>
      <c r="AA11">
        <v>81.5</v>
      </c>
      <c r="AB11" t="s">
        <v>275</v>
      </c>
      <c r="AC11" t="s">
        <v>308</v>
      </c>
      <c r="AD11" t="s">
        <v>275</v>
      </c>
      <c r="AE11" t="s">
        <v>308</v>
      </c>
      <c r="AF11" t="s">
        <v>275</v>
      </c>
      <c r="AG11" t="s">
        <v>275</v>
      </c>
    </row>
    <row r="12" spans="1:33" x14ac:dyDescent="0.2">
      <c r="A12" t="s">
        <v>174</v>
      </c>
      <c r="B12" t="s">
        <v>21</v>
      </c>
      <c r="D12" t="s">
        <v>186</v>
      </c>
      <c r="E12">
        <v>8.7342046655491927</v>
      </c>
      <c r="F12">
        <v>21.552202390044538</v>
      </c>
      <c r="G12">
        <v>2.544334198563281</v>
      </c>
      <c r="H12">
        <v>72.181704734723581</v>
      </c>
      <c r="I12">
        <v>69.273376452336819</v>
      </c>
      <c r="K12" t="s">
        <v>20</v>
      </c>
      <c r="L12" t="s">
        <v>21</v>
      </c>
      <c r="N12" t="s">
        <v>51</v>
      </c>
      <c r="O12">
        <v>9.18</v>
      </c>
      <c r="P12">
        <v>17.670000000000002</v>
      </c>
      <c r="Q12">
        <v>2.0099999999999998</v>
      </c>
      <c r="R12">
        <v>96.04</v>
      </c>
      <c r="S12">
        <v>76.37</v>
      </c>
      <c r="U12" t="s">
        <v>23</v>
      </c>
      <c r="V12" t="s">
        <v>51</v>
      </c>
      <c r="W12">
        <v>5.96</v>
      </c>
      <c r="X12">
        <v>17.14976463</v>
      </c>
      <c r="Y12">
        <v>2.939827578333333</v>
      </c>
      <c r="Z12">
        <v>75.333333333333329</v>
      </c>
      <c r="AA12">
        <v>74.666666666666671</v>
      </c>
      <c r="AB12" t="s">
        <v>275</v>
      </c>
      <c r="AC12" t="s">
        <v>275</v>
      </c>
      <c r="AD12" t="s">
        <v>275</v>
      </c>
      <c r="AE12" t="s">
        <v>308</v>
      </c>
      <c r="AF12" t="s">
        <v>275</v>
      </c>
      <c r="AG12" t="s">
        <v>275</v>
      </c>
    </row>
    <row r="13" spans="1:33" x14ac:dyDescent="0.2">
      <c r="A13" t="s">
        <v>174</v>
      </c>
      <c r="B13" t="s">
        <v>21</v>
      </c>
      <c r="D13" t="s">
        <v>187</v>
      </c>
      <c r="E13">
        <v>7.9996193438469501</v>
      </c>
      <c r="F13">
        <v>5.7273863341927918</v>
      </c>
      <c r="G13">
        <v>0.71708314784418825</v>
      </c>
      <c r="H13">
        <v>84.048259826305866</v>
      </c>
      <c r="I13">
        <v>69.252194081078073</v>
      </c>
      <c r="K13" t="s">
        <v>20</v>
      </c>
      <c r="L13" t="s">
        <v>21</v>
      </c>
      <c r="N13" t="s">
        <v>58</v>
      </c>
      <c r="P13">
        <v>4.6100000000000003</v>
      </c>
      <c r="S13">
        <v>76.02</v>
      </c>
      <c r="U13" t="s">
        <v>23</v>
      </c>
      <c r="V13" t="s">
        <v>58</v>
      </c>
      <c r="W13">
        <v>7.3666666666666663</v>
      </c>
      <c r="X13">
        <v>11.154999999999999</v>
      </c>
      <c r="Y13">
        <v>1.4533333333333329</v>
      </c>
      <c r="Z13">
        <v>80.260000000000005</v>
      </c>
      <c r="AA13">
        <v>67.983333333333334</v>
      </c>
      <c r="AB13" t="s">
        <v>308</v>
      </c>
      <c r="AC13" t="s">
        <v>308</v>
      </c>
      <c r="AD13" t="s">
        <v>275</v>
      </c>
      <c r="AE13" t="s">
        <v>308</v>
      </c>
      <c r="AF13" t="s">
        <v>308</v>
      </c>
      <c r="AG13" t="s">
        <v>308</v>
      </c>
    </row>
    <row r="14" spans="1:33" x14ac:dyDescent="0.2">
      <c r="A14" t="s">
        <v>174</v>
      </c>
      <c r="B14" t="s">
        <v>21</v>
      </c>
      <c r="D14" t="s">
        <v>188</v>
      </c>
      <c r="F14">
        <v>17.856275268198299</v>
      </c>
      <c r="I14">
        <v>86.448375189327038</v>
      </c>
      <c r="K14" t="s">
        <v>20</v>
      </c>
      <c r="L14" t="s">
        <v>21</v>
      </c>
      <c r="N14" t="s">
        <v>61</v>
      </c>
      <c r="U14" t="s">
        <v>23</v>
      </c>
      <c r="V14" t="s">
        <v>61</v>
      </c>
      <c r="W14">
        <v>1.0249999999999999</v>
      </c>
      <c r="X14">
        <v>59.44</v>
      </c>
      <c r="Y14">
        <v>60.989999999999988</v>
      </c>
      <c r="Z14">
        <v>58.92</v>
      </c>
      <c r="AA14">
        <v>64.599999999999994</v>
      </c>
      <c r="AB14" t="s">
        <v>308</v>
      </c>
      <c r="AC14" t="s">
        <v>308</v>
      </c>
      <c r="AD14" t="s">
        <v>308</v>
      </c>
      <c r="AE14" t="s">
        <v>308</v>
      </c>
      <c r="AF14" t="s">
        <v>308</v>
      </c>
      <c r="AG14" t="s">
        <v>308</v>
      </c>
    </row>
    <row r="15" spans="1:33" x14ac:dyDescent="0.2">
      <c r="A15" t="s">
        <v>174</v>
      </c>
      <c r="B15" t="s">
        <v>21</v>
      </c>
      <c r="D15" t="s">
        <v>189</v>
      </c>
      <c r="K15" t="s">
        <v>20</v>
      </c>
      <c r="L15" t="s">
        <v>21</v>
      </c>
      <c r="N15" t="s">
        <v>62</v>
      </c>
      <c r="O15">
        <v>204</v>
      </c>
      <c r="P15">
        <v>98.64</v>
      </c>
      <c r="Q15">
        <v>0.44</v>
      </c>
      <c r="R15">
        <v>356.19</v>
      </c>
      <c r="S15">
        <v>189.18</v>
      </c>
      <c r="U15" t="s">
        <v>23</v>
      </c>
      <c r="V15" t="s">
        <v>62</v>
      </c>
      <c r="AB15" t="s">
        <v>308</v>
      </c>
      <c r="AC15" t="s">
        <v>308</v>
      </c>
      <c r="AD15" t="s">
        <v>308</v>
      </c>
      <c r="AE15" t="s">
        <v>308</v>
      </c>
      <c r="AF15" t="s">
        <v>308</v>
      </c>
      <c r="AG15" t="s">
        <v>308</v>
      </c>
    </row>
    <row r="16" spans="1:33" x14ac:dyDescent="0.2">
      <c r="A16" t="s">
        <v>174</v>
      </c>
      <c r="B16" t="s">
        <v>21</v>
      </c>
      <c r="C16" t="s">
        <v>108</v>
      </c>
      <c r="D16" t="s">
        <v>190</v>
      </c>
      <c r="F16">
        <v>5.1205591156909538</v>
      </c>
      <c r="I16">
        <v>66.763447714109432</v>
      </c>
      <c r="K16" t="s">
        <v>20</v>
      </c>
      <c r="L16" t="s">
        <v>21</v>
      </c>
      <c r="M16" t="s">
        <v>66</v>
      </c>
      <c r="N16" t="s">
        <v>224</v>
      </c>
      <c r="P16">
        <v>2.96</v>
      </c>
      <c r="R16">
        <v>77.59</v>
      </c>
      <c r="S16">
        <v>67.7</v>
      </c>
      <c r="U16" t="s">
        <v>23</v>
      </c>
      <c r="AB16" t="s">
        <v>308</v>
      </c>
      <c r="AC16" t="s">
        <v>308</v>
      </c>
      <c r="AD16" t="s">
        <v>275</v>
      </c>
      <c r="AE16" t="s">
        <v>308</v>
      </c>
      <c r="AF16" t="s">
        <v>308</v>
      </c>
      <c r="AG16" t="s">
        <v>308</v>
      </c>
    </row>
    <row r="17" spans="1:33" x14ac:dyDescent="0.2">
      <c r="A17" t="s">
        <v>174</v>
      </c>
      <c r="B17" t="s">
        <v>21</v>
      </c>
      <c r="D17" t="s">
        <v>191</v>
      </c>
      <c r="E17">
        <v>14.416040684375281</v>
      </c>
      <c r="F17">
        <v>19.77402895906712</v>
      </c>
      <c r="G17">
        <v>1.371540336569177</v>
      </c>
      <c r="H17">
        <v>81.591114615293179</v>
      </c>
      <c r="I17">
        <v>63.350081762991422</v>
      </c>
      <c r="K17" t="s">
        <v>20</v>
      </c>
      <c r="L17" t="s">
        <v>21</v>
      </c>
      <c r="N17" t="s">
        <v>67</v>
      </c>
      <c r="O17">
        <v>12.57</v>
      </c>
      <c r="P17">
        <v>15.63</v>
      </c>
      <c r="Q17">
        <v>1.24</v>
      </c>
      <c r="R17">
        <v>91.9</v>
      </c>
      <c r="S17">
        <v>67.650000000000006</v>
      </c>
      <c r="U17" t="s">
        <v>23</v>
      </c>
      <c r="V17" t="s">
        <v>67</v>
      </c>
      <c r="W17">
        <v>3.625</v>
      </c>
      <c r="X17">
        <v>11.244999999999999</v>
      </c>
      <c r="Y17">
        <v>3.12</v>
      </c>
      <c r="Z17">
        <v>64.5</v>
      </c>
      <c r="AA17">
        <v>57</v>
      </c>
      <c r="AB17" t="s">
        <v>275</v>
      </c>
      <c r="AC17" t="s">
        <v>275</v>
      </c>
      <c r="AD17" t="s">
        <v>275</v>
      </c>
      <c r="AE17" t="s">
        <v>275</v>
      </c>
      <c r="AF17" t="s">
        <v>275</v>
      </c>
      <c r="AG17" t="s">
        <v>275</v>
      </c>
    </row>
    <row r="18" spans="1:33" x14ac:dyDescent="0.2">
      <c r="A18" t="s">
        <v>174</v>
      </c>
      <c r="B18" t="s">
        <v>21</v>
      </c>
      <c r="D18" t="s">
        <v>192</v>
      </c>
      <c r="E18">
        <v>2.3499556224125451</v>
      </c>
      <c r="F18">
        <v>5.6963818549829597</v>
      </c>
      <c r="G18">
        <v>2.4400298301026671</v>
      </c>
      <c r="H18">
        <v>39.029368971979387</v>
      </c>
      <c r="I18">
        <v>47.491266424069309</v>
      </c>
      <c r="K18" t="s">
        <v>20</v>
      </c>
      <c r="L18" t="s">
        <v>21</v>
      </c>
      <c r="N18" t="s">
        <v>68</v>
      </c>
      <c r="O18">
        <v>2.46</v>
      </c>
      <c r="P18">
        <v>5.48</v>
      </c>
      <c r="Q18">
        <v>2.23</v>
      </c>
      <c r="R18">
        <v>38.18</v>
      </c>
      <c r="S18">
        <v>60.23</v>
      </c>
      <c r="U18" t="s">
        <v>23</v>
      </c>
      <c r="V18" t="s">
        <v>68</v>
      </c>
      <c r="W18">
        <v>0.63</v>
      </c>
      <c r="X18">
        <v>4.6449999999999996</v>
      </c>
      <c r="Y18">
        <v>14.98</v>
      </c>
      <c r="Z18">
        <v>50</v>
      </c>
      <c r="AA18">
        <v>56</v>
      </c>
      <c r="AB18" t="s">
        <v>275</v>
      </c>
      <c r="AC18" t="s">
        <v>275</v>
      </c>
      <c r="AD18" t="s">
        <v>275</v>
      </c>
      <c r="AE18" t="s">
        <v>275</v>
      </c>
      <c r="AF18" t="s">
        <v>275</v>
      </c>
      <c r="AG18" t="s">
        <v>308</v>
      </c>
    </row>
    <row r="19" spans="1:33" x14ac:dyDescent="0.2">
      <c r="A19" t="s">
        <v>174</v>
      </c>
      <c r="B19" t="s">
        <v>21</v>
      </c>
      <c r="C19" t="s">
        <v>109</v>
      </c>
      <c r="D19" t="s">
        <v>193</v>
      </c>
      <c r="E19">
        <v>4.3602765853568908</v>
      </c>
      <c r="F19">
        <v>19.869894440368849</v>
      </c>
      <c r="G19">
        <v>4.548036081906691</v>
      </c>
      <c r="H19">
        <v>45.743776535360283</v>
      </c>
      <c r="I19">
        <v>34.046891137664687</v>
      </c>
      <c r="K19" t="s">
        <v>20</v>
      </c>
      <c r="L19" t="s">
        <v>21</v>
      </c>
      <c r="M19" t="s">
        <v>69</v>
      </c>
      <c r="N19" t="s">
        <v>223</v>
      </c>
      <c r="O19">
        <v>3.08</v>
      </c>
      <c r="P19">
        <v>18.39</v>
      </c>
      <c r="Q19">
        <v>6.17</v>
      </c>
      <c r="R19">
        <v>54.62</v>
      </c>
      <c r="S19">
        <v>48.59</v>
      </c>
      <c r="U19" t="s">
        <v>23</v>
      </c>
      <c r="AB19" t="s">
        <v>275</v>
      </c>
      <c r="AC19" t="s">
        <v>308</v>
      </c>
      <c r="AD19" t="s">
        <v>275</v>
      </c>
      <c r="AE19" t="s">
        <v>308</v>
      </c>
      <c r="AF19" t="s">
        <v>275</v>
      </c>
      <c r="AG19" t="s">
        <v>308</v>
      </c>
    </row>
    <row r="20" spans="1:33" x14ac:dyDescent="0.2">
      <c r="A20" t="s">
        <v>174</v>
      </c>
      <c r="B20" t="s">
        <v>21</v>
      </c>
      <c r="D20" t="s">
        <v>194</v>
      </c>
      <c r="F20">
        <v>13.80088849040601</v>
      </c>
      <c r="I20">
        <v>49.474405125839937</v>
      </c>
      <c r="K20" t="s">
        <v>20</v>
      </c>
      <c r="L20" t="s">
        <v>21</v>
      </c>
      <c r="N20" t="s">
        <v>70</v>
      </c>
      <c r="P20">
        <v>22.45</v>
      </c>
      <c r="S20">
        <v>67.709999999999994</v>
      </c>
      <c r="U20" t="s">
        <v>23</v>
      </c>
      <c r="V20" t="s">
        <v>70</v>
      </c>
      <c r="W20">
        <v>0.70500000000000007</v>
      </c>
      <c r="X20">
        <v>11.045</v>
      </c>
      <c r="Y20">
        <v>16.3</v>
      </c>
      <c r="Z20">
        <v>62.5</v>
      </c>
      <c r="AA20">
        <v>63.5</v>
      </c>
      <c r="AB20" t="s">
        <v>308</v>
      </c>
      <c r="AC20" t="s">
        <v>308</v>
      </c>
      <c r="AD20" t="s">
        <v>275</v>
      </c>
      <c r="AE20" t="s">
        <v>308</v>
      </c>
      <c r="AF20" t="s">
        <v>308</v>
      </c>
      <c r="AG20" t="s">
        <v>308</v>
      </c>
    </row>
    <row r="21" spans="1:33" x14ac:dyDescent="0.2">
      <c r="A21" t="s">
        <v>174</v>
      </c>
      <c r="B21" t="s">
        <v>21</v>
      </c>
      <c r="D21" t="s">
        <v>195</v>
      </c>
      <c r="K21" t="s">
        <v>20</v>
      </c>
      <c r="L21" t="s">
        <v>21</v>
      </c>
      <c r="N21" t="s">
        <v>71</v>
      </c>
      <c r="U21" t="s">
        <v>23</v>
      </c>
      <c r="V21" t="s">
        <v>71</v>
      </c>
      <c r="W21">
        <v>0.13</v>
      </c>
      <c r="X21">
        <v>0.02</v>
      </c>
      <c r="Y21">
        <v>0.16</v>
      </c>
      <c r="Z21">
        <v>13.5</v>
      </c>
      <c r="AA21">
        <v>13</v>
      </c>
      <c r="AB21" t="s">
        <v>308</v>
      </c>
      <c r="AC21" t="s">
        <v>308</v>
      </c>
      <c r="AD21" t="s">
        <v>308</v>
      </c>
      <c r="AE21" t="s">
        <v>308</v>
      </c>
      <c r="AF21" t="s">
        <v>308</v>
      </c>
      <c r="AG21" t="s">
        <v>308</v>
      </c>
    </row>
    <row r="22" spans="1:33" x14ac:dyDescent="0.2">
      <c r="A22" t="s">
        <v>174</v>
      </c>
      <c r="B22" t="s">
        <v>21</v>
      </c>
      <c r="D22" t="s">
        <v>196</v>
      </c>
      <c r="E22">
        <v>5.4078642064529374</v>
      </c>
      <c r="F22">
        <v>7.3316142339786854</v>
      </c>
      <c r="G22">
        <v>1.3557462536483369</v>
      </c>
      <c r="H22">
        <v>75.22241069394056</v>
      </c>
      <c r="I22">
        <v>60.74201743847695</v>
      </c>
      <c r="K22" t="s">
        <v>20</v>
      </c>
      <c r="L22" t="s">
        <v>21</v>
      </c>
      <c r="N22" t="s">
        <v>72</v>
      </c>
      <c r="P22">
        <v>5.66</v>
      </c>
      <c r="S22">
        <v>54.61</v>
      </c>
      <c r="U22" t="s">
        <v>23</v>
      </c>
      <c r="V22" t="s">
        <v>72</v>
      </c>
      <c r="W22">
        <v>2.2549999999999999</v>
      </c>
      <c r="X22">
        <v>7.0350000000000001</v>
      </c>
      <c r="Y22">
        <v>3.1150000000000002</v>
      </c>
      <c r="Z22">
        <v>72.5</v>
      </c>
      <c r="AA22">
        <v>52.5</v>
      </c>
      <c r="AB22" t="s">
        <v>308</v>
      </c>
      <c r="AC22" t="s">
        <v>308</v>
      </c>
      <c r="AD22" t="s">
        <v>275</v>
      </c>
      <c r="AE22" t="s">
        <v>275</v>
      </c>
      <c r="AF22" t="s">
        <v>308</v>
      </c>
      <c r="AG22" t="s">
        <v>308</v>
      </c>
    </row>
    <row r="23" spans="1:33" x14ac:dyDescent="0.2">
      <c r="A23" t="s">
        <v>174</v>
      </c>
      <c r="B23" t="s">
        <v>21</v>
      </c>
      <c r="D23" t="s">
        <v>197</v>
      </c>
      <c r="E23">
        <v>6.0867145490159462</v>
      </c>
      <c r="F23">
        <v>16.54448135876185</v>
      </c>
      <c r="G23">
        <v>2.7548245862123859</v>
      </c>
      <c r="H23">
        <v>51.187254608752987</v>
      </c>
      <c r="I23">
        <v>61.224732763561462</v>
      </c>
      <c r="K23" t="s">
        <v>20</v>
      </c>
      <c r="L23" t="s">
        <v>21</v>
      </c>
      <c r="N23" t="s">
        <v>73</v>
      </c>
      <c r="P23">
        <v>7.68</v>
      </c>
      <c r="S23">
        <v>52.32</v>
      </c>
      <c r="U23" t="s">
        <v>23</v>
      </c>
      <c r="V23" t="s">
        <v>73</v>
      </c>
      <c r="W23">
        <v>7.5000000000000011E-2</v>
      </c>
      <c r="X23">
        <v>5.91</v>
      </c>
      <c r="Y23">
        <v>81.210000000000008</v>
      </c>
      <c r="Z23">
        <v>37.5</v>
      </c>
      <c r="AA23">
        <v>31</v>
      </c>
      <c r="AB23" t="s">
        <v>308</v>
      </c>
      <c r="AC23" t="s">
        <v>308</v>
      </c>
      <c r="AD23" t="s">
        <v>275</v>
      </c>
      <c r="AE23" t="s">
        <v>275</v>
      </c>
      <c r="AF23" t="s">
        <v>308</v>
      </c>
      <c r="AG23" t="s">
        <v>308</v>
      </c>
    </row>
    <row r="24" spans="1:33" x14ac:dyDescent="0.2">
      <c r="A24" t="s">
        <v>174</v>
      </c>
      <c r="B24" t="s">
        <v>21</v>
      </c>
      <c r="D24" t="s">
        <v>198</v>
      </c>
      <c r="F24">
        <v>5.0717067835682743E-2</v>
      </c>
      <c r="I24">
        <v>62.607513435126343</v>
      </c>
      <c r="K24" t="s">
        <v>20</v>
      </c>
      <c r="L24" t="s">
        <v>21</v>
      </c>
      <c r="N24" t="s">
        <v>74</v>
      </c>
      <c r="P24">
        <v>0.11</v>
      </c>
      <c r="S24">
        <v>60.93</v>
      </c>
      <c r="U24" t="s">
        <v>23</v>
      </c>
      <c r="V24" t="s">
        <v>74</v>
      </c>
      <c r="W24">
        <v>0.4</v>
      </c>
      <c r="X24">
        <v>16.795000000000002</v>
      </c>
      <c r="Y24">
        <v>43.85</v>
      </c>
      <c r="Z24">
        <v>80</v>
      </c>
      <c r="AA24">
        <v>69.5</v>
      </c>
      <c r="AB24" t="s">
        <v>308</v>
      </c>
      <c r="AC24" t="s">
        <v>308</v>
      </c>
      <c r="AD24" t="s">
        <v>275</v>
      </c>
      <c r="AE24" t="s">
        <v>308</v>
      </c>
      <c r="AF24" t="s">
        <v>308</v>
      </c>
      <c r="AG24" t="s">
        <v>308</v>
      </c>
    </row>
    <row r="25" spans="1:33" x14ac:dyDescent="0.2">
      <c r="A25" t="s">
        <v>174</v>
      </c>
      <c r="B25" t="s">
        <v>21</v>
      </c>
      <c r="D25" t="s">
        <v>199</v>
      </c>
      <c r="F25">
        <v>5.1532765579411492</v>
      </c>
      <c r="I25">
        <v>94.85625821748387</v>
      </c>
      <c r="K25" t="s">
        <v>20</v>
      </c>
      <c r="L25" t="s">
        <v>21</v>
      </c>
      <c r="N25" t="s">
        <v>76</v>
      </c>
      <c r="U25" t="s">
        <v>23</v>
      </c>
      <c r="V25" t="s">
        <v>76</v>
      </c>
      <c r="X25">
        <v>1.575</v>
      </c>
      <c r="AA25">
        <v>51</v>
      </c>
      <c r="AB25" t="s">
        <v>308</v>
      </c>
      <c r="AC25" t="s">
        <v>308</v>
      </c>
      <c r="AD25" t="s">
        <v>308</v>
      </c>
      <c r="AE25" t="s">
        <v>308</v>
      </c>
      <c r="AF25" t="s">
        <v>308</v>
      </c>
      <c r="AG25" t="s">
        <v>308</v>
      </c>
    </row>
    <row r="26" spans="1:33" x14ac:dyDescent="0.2">
      <c r="A26" t="s">
        <v>174</v>
      </c>
      <c r="B26" t="s">
        <v>21</v>
      </c>
      <c r="D26" t="s">
        <v>200</v>
      </c>
      <c r="F26">
        <v>2.0533662556296099</v>
      </c>
      <c r="I26">
        <v>62.797375643362457</v>
      </c>
      <c r="K26" t="s">
        <v>20</v>
      </c>
      <c r="L26" t="s">
        <v>21</v>
      </c>
      <c r="N26" t="s">
        <v>77</v>
      </c>
      <c r="O26">
        <v>1.39</v>
      </c>
      <c r="P26">
        <v>1.0900000000000001</v>
      </c>
      <c r="Q26">
        <v>0.79</v>
      </c>
      <c r="R26">
        <v>56.27</v>
      </c>
      <c r="S26">
        <v>62.31</v>
      </c>
      <c r="U26" t="s">
        <v>23</v>
      </c>
      <c r="V26" t="s">
        <v>77</v>
      </c>
      <c r="W26">
        <v>0.22</v>
      </c>
      <c r="X26">
        <v>1.59</v>
      </c>
      <c r="Y26">
        <v>9.25</v>
      </c>
      <c r="Z26">
        <v>54.5</v>
      </c>
      <c r="AA26">
        <v>60</v>
      </c>
      <c r="AB26" t="s">
        <v>308</v>
      </c>
      <c r="AC26" t="s">
        <v>308</v>
      </c>
      <c r="AD26" t="s">
        <v>275</v>
      </c>
      <c r="AE26" t="s">
        <v>275</v>
      </c>
      <c r="AF26" t="s">
        <v>308</v>
      </c>
      <c r="AG26" t="s">
        <v>308</v>
      </c>
    </row>
    <row r="27" spans="1:33" x14ac:dyDescent="0.2">
      <c r="A27" t="s">
        <v>174</v>
      </c>
      <c r="B27" t="s">
        <v>21</v>
      </c>
      <c r="D27" t="s">
        <v>201</v>
      </c>
      <c r="K27" t="s">
        <v>20</v>
      </c>
      <c r="L27" t="s">
        <v>21</v>
      </c>
      <c r="N27" t="s">
        <v>78</v>
      </c>
      <c r="U27" t="s">
        <v>23</v>
      </c>
      <c r="V27" t="s">
        <v>78</v>
      </c>
      <c r="W27">
        <v>0.21</v>
      </c>
      <c r="X27">
        <v>7.7099999999999991</v>
      </c>
      <c r="Y27">
        <v>42.375</v>
      </c>
      <c r="Z27">
        <v>77</v>
      </c>
      <c r="AA27">
        <v>74</v>
      </c>
      <c r="AB27" t="s">
        <v>308</v>
      </c>
      <c r="AC27" t="s">
        <v>308</v>
      </c>
      <c r="AD27" t="s">
        <v>308</v>
      </c>
      <c r="AE27" t="s">
        <v>308</v>
      </c>
      <c r="AF27" t="s">
        <v>308</v>
      </c>
      <c r="AG27" t="s">
        <v>308</v>
      </c>
    </row>
    <row r="28" spans="1:33" x14ac:dyDescent="0.2">
      <c r="A28" t="s">
        <v>174</v>
      </c>
      <c r="B28" t="s">
        <v>21</v>
      </c>
      <c r="D28" t="s">
        <v>202</v>
      </c>
      <c r="F28">
        <v>30.014449024303431</v>
      </c>
      <c r="I28">
        <v>72.612628883461142</v>
      </c>
      <c r="K28" t="s">
        <v>20</v>
      </c>
      <c r="L28" t="s">
        <v>21</v>
      </c>
      <c r="N28" t="s">
        <v>79</v>
      </c>
      <c r="O28">
        <v>8.89</v>
      </c>
      <c r="P28">
        <v>28.82</v>
      </c>
      <c r="Q28">
        <v>3.25</v>
      </c>
      <c r="R28">
        <v>93.09</v>
      </c>
      <c r="S28">
        <v>86.24</v>
      </c>
      <c r="U28" t="s">
        <v>23</v>
      </c>
      <c r="V28" t="s">
        <v>79</v>
      </c>
      <c r="W28">
        <v>0.28000000000000003</v>
      </c>
      <c r="X28">
        <v>26.745000000000001</v>
      </c>
      <c r="Y28">
        <v>104.785</v>
      </c>
      <c r="Z28">
        <v>74.5</v>
      </c>
      <c r="AA28">
        <v>66.5</v>
      </c>
      <c r="AB28" t="s">
        <v>308</v>
      </c>
      <c r="AC28" t="s">
        <v>308</v>
      </c>
      <c r="AD28" t="s">
        <v>275</v>
      </c>
      <c r="AE28" t="s">
        <v>308</v>
      </c>
      <c r="AF28" t="s">
        <v>308</v>
      </c>
      <c r="AG28" t="s">
        <v>308</v>
      </c>
    </row>
    <row r="29" spans="1:33" x14ac:dyDescent="0.2">
      <c r="A29" t="s">
        <v>174</v>
      </c>
      <c r="B29" t="s">
        <v>21</v>
      </c>
      <c r="D29" t="s">
        <v>203</v>
      </c>
      <c r="K29" t="s">
        <v>20</v>
      </c>
      <c r="L29" t="s">
        <v>21</v>
      </c>
      <c r="N29" t="s">
        <v>80</v>
      </c>
      <c r="O29">
        <v>1.03</v>
      </c>
      <c r="P29">
        <v>4.7</v>
      </c>
      <c r="Q29">
        <v>5.28</v>
      </c>
      <c r="R29">
        <v>28.15</v>
      </c>
      <c r="S29">
        <v>57.33</v>
      </c>
      <c r="U29" t="s">
        <v>23</v>
      </c>
      <c r="V29" t="s">
        <v>80</v>
      </c>
      <c r="W29">
        <v>5.36</v>
      </c>
      <c r="X29">
        <v>10.6</v>
      </c>
      <c r="Y29">
        <v>1.9950000000000001</v>
      </c>
      <c r="Z29">
        <v>77</v>
      </c>
      <c r="AA29">
        <v>62</v>
      </c>
      <c r="AB29" t="s">
        <v>308</v>
      </c>
      <c r="AC29" t="s">
        <v>308</v>
      </c>
      <c r="AD29" t="s">
        <v>308</v>
      </c>
      <c r="AE29" t="s">
        <v>308</v>
      </c>
      <c r="AF29" t="s">
        <v>308</v>
      </c>
      <c r="AG29" t="s">
        <v>308</v>
      </c>
    </row>
    <row r="30" spans="1:33" x14ac:dyDescent="0.2">
      <c r="A30" t="s">
        <v>174</v>
      </c>
      <c r="B30" t="s">
        <v>21</v>
      </c>
      <c r="D30" t="s">
        <v>204</v>
      </c>
      <c r="E30">
        <v>0.38857850190465132</v>
      </c>
      <c r="F30">
        <v>2.7920337660629682</v>
      </c>
      <c r="G30">
        <v>6.8673538305517523</v>
      </c>
      <c r="H30">
        <v>40.254413702431421</v>
      </c>
      <c r="K30" t="s">
        <v>20</v>
      </c>
      <c r="L30" t="s">
        <v>21</v>
      </c>
      <c r="N30" t="s">
        <v>81</v>
      </c>
      <c r="O30">
        <v>0.84</v>
      </c>
      <c r="P30">
        <v>7.48</v>
      </c>
      <c r="Q30">
        <v>8.86</v>
      </c>
      <c r="R30">
        <v>51.55</v>
      </c>
      <c r="S30">
        <v>106.89</v>
      </c>
      <c r="U30" t="s">
        <v>23</v>
      </c>
      <c r="V30" t="s">
        <v>81</v>
      </c>
      <c r="W30">
        <v>0.28000000000000003</v>
      </c>
      <c r="X30">
        <v>4.37</v>
      </c>
      <c r="Y30">
        <v>15.925000000000001</v>
      </c>
      <c r="Z30">
        <v>61</v>
      </c>
      <c r="AA30">
        <v>67.5</v>
      </c>
      <c r="AB30" t="s">
        <v>275</v>
      </c>
      <c r="AC30" t="s">
        <v>275</v>
      </c>
      <c r="AD30" t="s">
        <v>275</v>
      </c>
      <c r="AE30" t="s">
        <v>275</v>
      </c>
      <c r="AF30" t="s">
        <v>275</v>
      </c>
      <c r="AG30" t="s">
        <v>308</v>
      </c>
    </row>
    <row r="31" spans="1:33" x14ac:dyDescent="0.2">
      <c r="A31" t="s">
        <v>174</v>
      </c>
      <c r="B31" t="s">
        <v>21</v>
      </c>
      <c r="D31" t="s">
        <v>205</v>
      </c>
      <c r="E31">
        <v>28.839628404011261</v>
      </c>
      <c r="F31">
        <v>33.369495973110247</v>
      </c>
      <c r="G31">
        <v>1.181195203506181</v>
      </c>
      <c r="H31">
        <v>88.173662331776228</v>
      </c>
      <c r="I31">
        <v>72.268444325542731</v>
      </c>
      <c r="K31" t="s">
        <v>20</v>
      </c>
      <c r="L31" t="s">
        <v>21</v>
      </c>
      <c r="N31" t="s">
        <v>84</v>
      </c>
      <c r="O31">
        <v>10.23</v>
      </c>
      <c r="P31">
        <v>13.25</v>
      </c>
      <c r="Q31">
        <v>1.51</v>
      </c>
      <c r="R31">
        <v>54.09</v>
      </c>
      <c r="S31">
        <v>36.76</v>
      </c>
      <c r="U31" t="s">
        <v>23</v>
      </c>
      <c r="V31" t="s">
        <v>84</v>
      </c>
      <c r="W31">
        <v>12.52</v>
      </c>
      <c r="X31">
        <v>18.975000000000001</v>
      </c>
      <c r="Y31">
        <v>1.51</v>
      </c>
      <c r="Z31">
        <v>73</v>
      </c>
      <c r="AA31">
        <v>57</v>
      </c>
      <c r="AB31" t="s">
        <v>308</v>
      </c>
      <c r="AC31" t="s">
        <v>275</v>
      </c>
      <c r="AD31" t="s">
        <v>308</v>
      </c>
      <c r="AE31" t="s">
        <v>275</v>
      </c>
      <c r="AF31" t="s">
        <v>275</v>
      </c>
      <c r="AG31" t="s">
        <v>275</v>
      </c>
    </row>
    <row r="32" spans="1:33" x14ac:dyDescent="0.2">
      <c r="A32" t="s">
        <v>174</v>
      </c>
      <c r="B32" t="s">
        <v>21</v>
      </c>
      <c r="D32" t="s">
        <v>206</v>
      </c>
      <c r="E32">
        <v>2.2685618353244741</v>
      </c>
      <c r="F32">
        <v>22.238224395792841</v>
      </c>
      <c r="G32">
        <v>12.34884042327541</v>
      </c>
      <c r="H32">
        <v>78.456954944399897</v>
      </c>
      <c r="I32">
        <v>48.518719494303433</v>
      </c>
      <c r="K32" t="s">
        <v>20</v>
      </c>
      <c r="L32" t="s">
        <v>21</v>
      </c>
      <c r="N32" t="s">
        <v>85</v>
      </c>
      <c r="P32">
        <v>23.45</v>
      </c>
      <c r="S32">
        <v>70.58</v>
      </c>
      <c r="U32" t="s">
        <v>23</v>
      </c>
      <c r="V32" t="s">
        <v>85</v>
      </c>
      <c r="W32">
        <v>1.335</v>
      </c>
      <c r="X32">
        <v>25.13</v>
      </c>
      <c r="Y32">
        <v>18.844999999999999</v>
      </c>
      <c r="Z32">
        <v>70.5</v>
      </c>
      <c r="AA32">
        <v>68</v>
      </c>
      <c r="AB32" t="s">
        <v>308</v>
      </c>
      <c r="AC32" t="s">
        <v>308</v>
      </c>
      <c r="AD32" t="s">
        <v>275</v>
      </c>
      <c r="AE32" t="s">
        <v>308</v>
      </c>
      <c r="AF32" t="s">
        <v>308</v>
      </c>
      <c r="AG32" t="s">
        <v>308</v>
      </c>
    </row>
    <row r="33" spans="1:33" x14ac:dyDescent="0.2">
      <c r="A33" t="s">
        <v>174</v>
      </c>
      <c r="B33" t="s">
        <v>21</v>
      </c>
      <c r="D33" t="s">
        <v>207</v>
      </c>
      <c r="F33">
        <v>0.22173530946576769</v>
      </c>
      <c r="I33">
        <v>36.862806680011488</v>
      </c>
      <c r="K33" t="s">
        <v>20</v>
      </c>
      <c r="L33" t="s">
        <v>21</v>
      </c>
      <c r="N33" t="s">
        <v>86</v>
      </c>
      <c r="P33">
        <v>0.38</v>
      </c>
      <c r="S33">
        <v>46.18</v>
      </c>
      <c r="U33" t="s">
        <v>23</v>
      </c>
      <c r="V33" t="s">
        <v>86</v>
      </c>
      <c r="AB33" t="s">
        <v>308</v>
      </c>
      <c r="AC33" t="s">
        <v>308</v>
      </c>
      <c r="AD33" t="s">
        <v>275</v>
      </c>
      <c r="AE33" t="s">
        <v>308</v>
      </c>
      <c r="AF33" t="s">
        <v>308</v>
      </c>
      <c r="AG33" t="s">
        <v>308</v>
      </c>
    </row>
    <row r="34" spans="1:33" x14ac:dyDescent="0.2">
      <c r="A34" t="s">
        <v>174</v>
      </c>
      <c r="B34" t="s">
        <v>21</v>
      </c>
      <c r="D34" t="s">
        <v>208</v>
      </c>
      <c r="F34">
        <v>0.29851493897688319</v>
      </c>
      <c r="K34" t="s">
        <v>20</v>
      </c>
      <c r="L34" t="s">
        <v>21</v>
      </c>
      <c r="N34" t="s">
        <v>87</v>
      </c>
      <c r="O34">
        <v>1.3</v>
      </c>
      <c r="P34">
        <v>0.68</v>
      </c>
      <c r="Q34">
        <v>0.52</v>
      </c>
      <c r="R34">
        <v>53.59</v>
      </c>
      <c r="S34">
        <v>59.51</v>
      </c>
      <c r="U34" t="s">
        <v>23</v>
      </c>
      <c r="V34" t="s">
        <v>87</v>
      </c>
      <c r="W34">
        <v>8.0599999999999987</v>
      </c>
      <c r="X34">
        <v>3.3966666666666669</v>
      </c>
      <c r="Y34">
        <v>1.034</v>
      </c>
      <c r="Z34">
        <v>58.236000000000011</v>
      </c>
      <c r="AA34">
        <v>43.544999999999987</v>
      </c>
      <c r="AB34" t="s">
        <v>308</v>
      </c>
      <c r="AC34" t="s">
        <v>308</v>
      </c>
      <c r="AD34" t="s">
        <v>275</v>
      </c>
      <c r="AE34" t="s">
        <v>275</v>
      </c>
      <c r="AF34" t="s">
        <v>308</v>
      </c>
      <c r="AG34" t="s">
        <v>308</v>
      </c>
    </row>
    <row r="35" spans="1:33" x14ac:dyDescent="0.2">
      <c r="A35" t="s">
        <v>174</v>
      </c>
      <c r="B35" t="s">
        <v>21</v>
      </c>
      <c r="D35" t="s">
        <v>209</v>
      </c>
      <c r="K35" t="s">
        <v>20</v>
      </c>
      <c r="L35" t="s">
        <v>21</v>
      </c>
      <c r="N35" t="s">
        <v>89</v>
      </c>
      <c r="U35" t="s">
        <v>23</v>
      </c>
      <c r="V35" t="s">
        <v>89</v>
      </c>
      <c r="AB35" t="s">
        <v>308</v>
      </c>
      <c r="AC35" t="s">
        <v>308</v>
      </c>
      <c r="AD35" t="s">
        <v>308</v>
      </c>
      <c r="AE35" t="s">
        <v>308</v>
      </c>
      <c r="AF35" t="s">
        <v>308</v>
      </c>
      <c r="AG35" t="s">
        <v>308</v>
      </c>
    </row>
    <row r="36" spans="1:33" x14ac:dyDescent="0.2">
      <c r="A36" t="s">
        <v>174</v>
      </c>
      <c r="B36" t="s">
        <v>21</v>
      </c>
      <c r="D36" t="s">
        <v>210</v>
      </c>
      <c r="E36">
        <v>6.1843819459190081</v>
      </c>
      <c r="K36" t="s">
        <v>20</v>
      </c>
      <c r="L36" t="s">
        <v>21</v>
      </c>
      <c r="N36" t="s">
        <v>90</v>
      </c>
      <c r="P36">
        <v>0.1</v>
      </c>
      <c r="S36">
        <v>69.540000000000006</v>
      </c>
      <c r="U36" t="s">
        <v>23</v>
      </c>
      <c r="V36" t="s">
        <v>90</v>
      </c>
      <c r="X36">
        <v>0.37</v>
      </c>
      <c r="AA36">
        <v>45.5</v>
      </c>
      <c r="AB36" t="s">
        <v>308</v>
      </c>
      <c r="AC36" t="s">
        <v>308</v>
      </c>
      <c r="AD36" t="s">
        <v>308</v>
      </c>
      <c r="AE36" t="s">
        <v>308</v>
      </c>
      <c r="AF36" t="s">
        <v>308</v>
      </c>
      <c r="AG36" t="s">
        <v>308</v>
      </c>
    </row>
    <row r="37" spans="1:33" x14ac:dyDescent="0.2">
      <c r="A37" t="s">
        <v>174</v>
      </c>
      <c r="B37" t="s">
        <v>21</v>
      </c>
      <c r="D37" t="s">
        <v>211</v>
      </c>
      <c r="E37">
        <v>1.059298377441356</v>
      </c>
      <c r="F37">
        <v>34.515578411943949</v>
      </c>
      <c r="G37">
        <v>35.510060907741988</v>
      </c>
      <c r="H37">
        <v>64.543451999019538</v>
      </c>
      <c r="I37">
        <v>80.351543712895321</v>
      </c>
      <c r="K37" t="s">
        <v>20</v>
      </c>
      <c r="L37" t="s">
        <v>21</v>
      </c>
      <c r="N37" t="s">
        <v>91</v>
      </c>
      <c r="O37">
        <v>0.36</v>
      </c>
      <c r="P37">
        <v>9.06</v>
      </c>
      <c r="Q37">
        <v>27.8</v>
      </c>
      <c r="R37">
        <v>67.88</v>
      </c>
      <c r="S37">
        <v>52.74</v>
      </c>
      <c r="U37" t="s">
        <v>23</v>
      </c>
      <c r="V37" t="s">
        <v>91</v>
      </c>
      <c r="W37">
        <v>0.54500000000000004</v>
      </c>
      <c r="X37">
        <v>13.15</v>
      </c>
      <c r="Y37">
        <v>24.19</v>
      </c>
      <c r="Z37">
        <v>59.5</v>
      </c>
      <c r="AA37">
        <v>66.5</v>
      </c>
      <c r="AB37" t="s">
        <v>275</v>
      </c>
      <c r="AC37" t="s">
        <v>275</v>
      </c>
      <c r="AD37" t="s">
        <v>308</v>
      </c>
      <c r="AE37" t="s">
        <v>308</v>
      </c>
      <c r="AF37" t="s">
        <v>275</v>
      </c>
      <c r="AG37" t="s">
        <v>308</v>
      </c>
    </row>
    <row r="38" spans="1:33" x14ac:dyDescent="0.2">
      <c r="A38" t="s">
        <v>174</v>
      </c>
      <c r="B38" t="s">
        <v>21</v>
      </c>
      <c r="D38" t="s">
        <v>212</v>
      </c>
      <c r="F38">
        <v>0.39814031844408881</v>
      </c>
      <c r="I38">
        <v>18.450909690837701</v>
      </c>
      <c r="K38" t="s">
        <v>20</v>
      </c>
      <c r="L38" t="s">
        <v>21</v>
      </c>
      <c r="N38" t="s">
        <v>92</v>
      </c>
      <c r="U38" t="s">
        <v>23</v>
      </c>
      <c r="V38" t="s">
        <v>92</v>
      </c>
      <c r="AB38" t="s">
        <v>308</v>
      </c>
      <c r="AC38" t="s">
        <v>308</v>
      </c>
      <c r="AD38" t="s">
        <v>308</v>
      </c>
      <c r="AE38" t="s">
        <v>308</v>
      </c>
      <c r="AF38" t="s">
        <v>308</v>
      </c>
      <c r="AG38" t="s">
        <v>308</v>
      </c>
    </row>
    <row r="39" spans="1:33" x14ac:dyDescent="0.2">
      <c r="A39" t="s">
        <v>174</v>
      </c>
      <c r="B39" t="s">
        <v>21</v>
      </c>
      <c r="D39" t="s">
        <v>213</v>
      </c>
      <c r="K39" t="s">
        <v>20</v>
      </c>
      <c r="L39" t="s">
        <v>21</v>
      </c>
      <c r="N39" t="s">
        <v>93</v>
      </c>
      <c r="U39" t="s">
        <v>23</v>
      </c>
      <c r="V39" t="s">
        <v>93</v>
      </c>
      <c r="AB39" t="s">
        <v>308</v>
      </c>
      <c r="AC39" t="s">
        <v>308</v>
      </c>
      <c r="AD39" t="s">
        <v>308</v>
      </c>
      <c r="AE39" t="s">
        <v>308</v>
      </c>
      <c r="AF39" t="s">
        <v>308</v>
      </c>
      <c r="AG39" t="s">
        <v>308</v>
      </c>
    </row>
    <row r="40" spans="1:33" x14ac:dyDescent="0.2">
      <c r="A40" t="s">
        <v>174</v>
      </c>
      <c r="B40" t="s">
        <v>21</v>
      </c>
      <c r="D40" t="s">
        <v>214</v>
      </c>
      <c r="F40">
        <v>6.1218025973390002</v>
      </c>
      <c r="I40">
        <v>62.630542978452468</v>
      </c>
      <c r="K40" t="s">
        <v>20</v>
      </c>
      <c r="L40" t="s">
        <v>21</v>
      </c>
      <c r="N40" t="s">
        <v>94</v>
      </c>
      <c r="P40">
        <v>6.5</v>
      </c>
      <c r="S40">
        <v>73.72</v>
      </c>
      <c r="U40" t="s">
        <v>23</v>
      </c>
      <c r="V40" t="s">
        <v>94</v>
      </c>
      <c r="X40">
        <v>3.63</v>
      </c>
      <c r="AA40">
        <v>57.5</v>
      </c>
      <c r="AB40" t="s">
        <v>308</v>
      </c>
      <c r="AC40" t="s">
        <v>308</v>
      </c>
      <c r="AD40" t="s">
        <v>275</v>
      </c>
      <c r="AE40" t="s">
        <v>275</v>
      </c>
      <c r="AF40" t="s">
        <v>308</v>
      </c>
      <c r="AG40" t="s">
        <v>308</v>
      </c>
    </row>
    <row r="41" spans="1:33" x14ac:dyDescent="0.2">
      <c r="A41" t="s">
        <v>174</v>
      </c>
      <c r="B41" t="s">
        <v>21</v>
      </c>
      <c r="D41" t="s">
        <v>215</v>
      </c>
      <c r="E41">
        <v>4.4709795398697976</v>
      </c>
      <c r="F41">
        <v>17.72100729723871</v>
      </c>
      <c r="G41">
        <v>9.3669716195728139</v>
      </c>
      <c r="H41">
        <v>82.173602172768824</v>
      </c>
      <c r="I41">
        <v>73.206311291075167</v>
      </c>
      <c r="K41" t="s">
        <v>20</v>
      </c>
      <c r="L41" t="s">
        <v>21</v>
      </c>
      <c r="N41" t="s">
        <v>95</v>
      </c>
      <c r="O41">
        <v>3.6</v>
      </c>
      <c r="P41">
        <v>9.3800000000000008</v>
      </c>
      <c r="Q41">
        <v>3.02</v>
      </c>
      <c r="R41">
        <v>96.51</v>
      </c>
      <c r="S41">
        <v>74.42</v>
      </c>
      <c r="U41" t="s">
        <v>23</v>
      </c>
      <c r="V41" t="s">
        <v>95</v>
      </c>
      <c r="X41">
        <v>14.914999999999999</v>
      </c>
      <c r="AA41">
        <v>73.5</v>
      </c>
      <c r="AB41" t="s">
        <v>275</v>
      </c>
      <c r="AC41" t="s">
        <v>308</v>
      </c>
      <c r="AD41" t="s">
        <v>275</v>
      </c>
      <c r="AE41" t="s">
        <v>275</v>
      </c>
      <c r="AF41" t="s">
        <v>275</v>
      </c>
      <c r="AG41" t="s">
        <v>308</v>
      </c>
    </row>
    <row r="42" spans="1:33" x14ac:dyDescent="0.2">
      <c r="A42" t="s">
        <v>174</v>
      </c>
      <c r="B42" t="s">
        <v>21</v>
      </c>
      <c r="D42" t="s">
        <v>216</v>
      </c>
      <c r="K42" t="s">
        <v>20</v>
      </c>
      <c r="L42" t="s">
        <v>21</v>
      </c>
      <c r="N42" t="s">
        <v>96</v>
      </c>
      <c r="P42">
        <v>5.37</v>
      </c>
      <c r="S42">
        <v>54.19</v>
      </c>
      <c r="U42" t="s">
        <v>23</v>
      </c>
      <c r="V42" t="s">
        <v>96</v>
      </c>
      <c r="W42">
        <v>2.2149999999999999</v>
      </c>
      <c r="X42">
        <v>32.659999999999997</v>
      </c>
      <c r="Y42">
        <v>14.744999999999999</v>
      </c>
      <c r="Z42">
        <v>43.034999999999997</v>
      </c>
      <c r="AA42">
        <v>69.5</v>
      </c>
      <c r="AB42" t="s">
        <v>308</v>
      </c>
      <c r="AC42" t="s">
        <v>308</v>
      </c>
      <c r="AD42" t="s">
        <v>308</v>
      </c>
      <c r="AE42" t="s">
        <v>308</v>
      </c>
      <c r="AF42" t="s">
        <v>308</v>
      </c>
      <c r="AG42" t="s">
        <v>308</v>
      </c>
    </row>
    <row r="43" spans="1:33" x14ac:dyDescent="0.2">
      <c r="A43" t="s">
        <v>174</v>
      </c>
      <c r="B43" t="s">
        <v>21</v>
      </c>
      <c r="D43" t="s">
        <v>217</v>
      </c>
      <c r="E43">
        <v>2.1902992930402081</v>
      </c>
      <c r="F43">
        <v>19.771706232469661</v>
      </c>
      <c r="G43">
        <v>12.41103108888753</v>
      </c>
      <c r="H43">
        <v>36.007166224475483</v>
      </c>
      <c r="I43">
        <v>60.03438390091592</v>
      </c>
      <c r="K43" t="s">
        <v>20</v>
      </c>
      <c r="L43" t="s">
        <v>21</v>
      </c>
      <c r="N43" t="s">
        <v>97</v>
      </c>
      <c r="O43">
        <v>4.13</v>
      </c>
      <c r="P43">
        <v>8.82</v>
      </c>
      <c r="Q43">
        <v>2.2000000000000002</v>
      </c>
      <c r="R43">
        <v>47.48</v>
      </c>
      <c r="S43">
        <v>31.53</v>
      </c>
      <c r="U43" t="s">
        <v>23</v>
      </c>
      <c r="V43" t="s">
        <v>97</v>
      </c>
      <c r="X43">
        <v>10.275</v>
      </c>
      <c r="AA43">
        <v>60</v>
      </c>
      <c r="AB43" t="s">
        <v>275</v>
      </c>
      <c r="AC43" t="s">
        <v>308</v>
      </c>
      <c r="AD43" t="s">
        <v>308</v>
      </c>
      <c r="AE43" t="s">
        <v>275</v>
      </c>
      <c r="AF43" t="s">
        <v>308</v>
      </c>
      <c r="AG43" t="s">
        <v>308</v>
      </c>
    </row>
    <row r="44" spans="1:33" x14ac:dyDescent="0.2">
      <c r="A44" t="s">
        <v>174</v>
      </c>
      <c r="B44" t="s">
        <v>21</v>
      </c>
      <c r="D44" t="s">
        <v>218</v>
      </c>
      <c r="E44">
        <v>3.9676162983015582</v>
      </c>
      <c r="F44">
        <v>10.426634870470661</v>
      </c>
      <c r="G44">
        <v>2.6255567846802959</v>
      </c>
      <c r="H44">
        <v>54.906477921895387</v>
      </c>
      <c r="I44">
        <v>60.732729620253018</v>
      </c>
      <c r="K44" t="s">
        <v>20</v>
      </c>
      <c r="L44" t="s">
        <v>21</v>
      </c>
      <c r="N44" t="s">
        <v>98</v>
      </c>
      <c r="O44">
        <v>2.23</v>
      </c>
      <c r="P44">
        <v>10.74</v>
      </c>
      <c r="Q44">
        <v>4.9000000000000004</v>
      </c>
      <c r="R44">
        <v>65.87</v>
      </c>
      <c r="S44">
        <v>50.43</v>
      </c>
      <c r="U44" t="s">
        <v>23</v>
      </c>
      <c r="V44" t="s">
        <v>98</v>
      </c>
      <c r="W44">
        <v>2.4950000000000001</v>
      </c>
      <c r="X44">
        <v>12.675000000000001</v>
      </c>
      <c r="Y44">
        <v>5.31</v>
      </c>
      <c r="Z44">
        <v>67</v>
      </c>
      <c r="AA44">
        <v>69.5</v>
      </c>
      <c r="AB44" t="s">
        <v>275</v>
      </c>
      <c r="AC44" t="s">
        <v>275</v>
      </c>
      <c r="AD44" t="s">
        <v>275</v>
      </c>
      <c r="AE44" t="s">
        <v>308</v>
      </c>
      <c r="AF44" t="s">
        <v>275</v>
      </c>
      <c r="AG44" t="s">
        <v>275</v>
      </c>
    </row>
    <row r="45" spans="1:33" x14ac:dyDescent="0.2">
      <c r="A45" t="s">
        <v>174</v>
      </c>
      <c r="B45" t="s">
        <v>21</v>
      </c>
      <c r="D45" t="s">
        <v>219</v>
      </c>
      <c r="E45">
        <v>1.1187643725522509</v>
      </c>
      <c r="F45">
        <v>12.50268767801769</v>
      </c>
      <c r="G45">
        <v>11.5023333101432</v>
      </c>
      <c r="H45">
        <v>77.361359502347852</v>
      </c>
      <c r="I45">
        <v>67.199481609981703</v>
      </c>
      <c r="K45" t="s">
        <v>20</v>
      </c>
      <c r="L45" t="s">
        <v>21</v>
      </c>
      <c r="N45" t="s">
        <v>99</v>
      </c>
      <c r="O45">
        <v>1.47</v>
      </c>
      <c r="P45">
        <v>8.9499999999999993</v>
      </c>
      <c r="Q45">
        <v>6.14</v>
      </c>
      <c r="R45">
        <v>96.38</v>
      </c>
      <c r="S45">
        <v>75.19</v>
      </c>
      <c r="U45" t="s">
        <v>23</v>
      </c>
      <c r="V45" t="s">
        <v>99</v>
      </c>
      <c r="W45">
        <v>38.674999999999997</v>
      </c>
      <c r="X45">
        <v>13.63</v>
      </c>
      <c r="Y45">
        <v>0.35499999999999998</v>
      </c>
      <c r="Z45">
        <v>125.5</v>
      </c>
      <c r="AA45">
        <v>67.5</v>
      </c>
      <c r="AB45" t="s">
        <v>275</v>
      </c>
      <c r="AC45" t="s">
        <v>308</v>
      </c>
      <c r="AD45" t="s">
        <v>275</v>
      </c>
      <c r="AE45" t="s">
        <v>308</v>
      </c>
      <c r="AF45" t="s">
        <v>275</v>
      </c>
      <c r="AG45" t="s">
        <v>275</v>
      </c>
    </row>
    <row r="46" spans="1:33" x14ac:dyDescent="0.2">
      <c r="A46" t="s">
        <v>174</v>
      </c>
      <c r="B46" t="s">
        <v>21</v>
      </c>
      <c r="D46" t="s">
        <v>220</v>
      </c>
      <c r="F46">
        <v>23.01602687400268</v>
      </c>
      <c r="I46">
        <v>51.710582383043288</v>
      </c>
      <c r="K46" t="s">
        <v>20</v>
      </c>
      <c r="L46" t="s">
        <v>21</v>
      </c>
      <c r="N46" t="s">
        <v>100</v>
      </c>
      <c r="O46">
        <v>229.8</v>
      </c>
      <c r="P46">
        <v>34.479999999999997</v>
      </c>
      <c r="Q46">
        <v>0.17</v>
      </c>
      <c r="R46">
        <v>418.85</v>
      </c>
      <c r="S46">
        <v>67.48</v>
      </c>
      <c r="U46" t="s">
        <v>23</v>
      </c>
      <c r="V46" t="s">
        <v>100</v>
      </c>
      <c r="W46">
        <v>4.29</v>
      </c>
      <c r="X46">
        <v>12.04</v>
      </c>
      <c r="Y46">
        <v>3.2850000000000001</v>
      </c>
      <c r="Z46">
        <v>74</v>
      </c>
      <c r="AA46">
        <v>44</v>
      </c>
      <c r="AB46" t="s">
        <v>308</v>
      </c>
      <c r="AC46" t="s">
        <v>308</v>
      </c>
      <c r="AD46" t="s">
        <v>308</v>
      </c>
      <c r="AE46" t="s">
        <v>308</v>
      </c>
      <c r="AF46" t="s">
        <v>308</v>
      </c>
      <c r="AG46" t="s">
        <v>308</v>
      </c>
    </row>
    <row r="47" spans="1:33" x14ac:dyDescent="0.2">
      <c r="A47" t="s">
        <v>174</v>
      </c>
      <c r="B47" t="s">
        <v>21</v>
      </c>
      <c r="D47" t="s">
        <v>221</v>
      </c>
      <c r="F47">
        <v>0.75078645977741909</v>
      </c>
      <c r="I47">
        <v>58.365465427546553</v>
      </c>
      <c r="K47" t="s">
        <v>20</v>
      </c>
      <c r="L47" t="s">
        <v>21</v>
      </c>
      <c r="N47" t="s">
        <v>101</v>
      </c>
      <c r="O47">
        <v>0.16</v>
      </c>
      <c r="P47">
        <v>0.26</v>
      </c>
      <c r="Q47">
        <v>1.56</v>
      </c>
      <c r="R47">
        <v>61.15</v>
      </c>
      <c r="S47">
        <v>70.989999999999995</v>
      </c>
      <c r="U47" t="s">
        <v>23</v>
      </c>
      <c r="V47" t="s">
        <v>101</v>
      </c>
      <c r="W47">
        <v>1.5175000000000001</v>
      </c>
      <c r="X47">
        <v>9.1300000000000008</v>
      </c>
      <c r="Y47">
        <v>6.7250000000000014</v>
      </c>
      <c r="Z47">
        <v>53</v>
      </c>
      <c r="AA47">
        <v>54.5</v>
      </c>
      <c r="AB47" t="s">
        <v>308</v>
      </c>
      <c r="AC47" t="s">
        <v>308</v>
      </c>
      <c r="AD47" t="s">
        <v>275</v>
      </c>
      <c r="AE47" t="s">
        <v>275</v>
      </c>
      <c r="AF47" t="s">
        <v>308</v>
      </c>
      <c r="AG47" t="s">
        <v>308</v>
      </c>
    </row>
    <row r="48" spans="1:33" x14ac:dyDescent="0.2">
      <c r="A48" t="s">
        <v>174</v>
      </c>
      <c r="B48" t="s">
        <v>21</v>
      </c>
      <c r="D48" t="s">
        <v>222</v>
      </c>
      <c r="E48">
        <v>3.1872794769851431</v>
      </c>
      <c r="F48">
        <v>17.979591793063111</v>
      </c>
      <c r="G48">
        <v>5.7891420590002109</v>
      </c>
      <c r="H48">
        <v>105.401945732868</v>
      </c>
      <c r="I48">
        <v>65.822874434636134</v>
      </c>
      <c r="K48" t="s">
        <v>20</v>
      </c>
      <c r="L48" t="s">
        <v>21</v>
      </c>
      <c r="N48" t="s">
        <v>102</v>
      </c>
      <c r="O48">
        <v>1.55</v>
      </c>
      <c r="P48">
        <v>15.08</v>
      </c>
      <c r="Q48">
        <v>9.93</v>
      </c>
      <c r="R48">
        <v>98.61</v>
      </c>
      <c r="S48">
        <v>70.569999999999993</v>
      </c>
      <c r="U48" t="s">
        <v>23</v>
      </c>
      <c r="V48" t="s">
        <v>102</v>
      </c>
      <c r="W48">
        <v>2.5177380335000001</v>
      </c>
      <c r="X48">
        <v>31.599763443499999</v>
      </c>
      <c r="Y48">
        <v>21.265193900300002</v>
      </c>
      <c r="Z48">
        <v>81.122565934999997</v>
      </c>
      <c r="AA48">
        <v>55.120514468000003</v>
      </c>
      <c r="AB48" t="s">
        <v>275</v>
      </c>
      <c r="AC48" t="s">
        <v>275</v>
      </c>
      <c r="AD48" t="s">
        <v>275</v>
      </c>
      <c r="AE48" t="s">
        <v>308</v>
      </c>
      <c r="AF48" t="s">
        <v>275</v>
      </c>
      <c r="AG48" t="s">
        <v>308</v>
      </c>
    </row>
  </sheetData>
  <conditionalFormatting sqref="N1:AG50">
    <cfRule type="containsText" dxfId="2" priority="1" operator="containsText" text="match">
      <formula>NOT(ISERROR(SEARCH("match",N1)))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A65C-8C4B-954A-9555-54EF69461C30}">
  <dimension ref="A1:AA49"/>
  <sheetViews>
    <sheetView zoomScale="115" workbookViewId="0">
      <selection activeCell="O40" sqref="O40"/>
    </sheetView>
  </sheetViews>
  <sheetFormatPr baseColWidth="10" defaultRowHeight="15" x14ac:dyDescent="0.2"/>
  <cols>
    <col min="1" max="1" width="20.1640625" bestFit="1" customWidth="1"/>
    <col min="5" max="6" width="13.6640625" bestFit="1" customWidth="1"/>
    <col min="7" max="7" width="12.6640625" bestFit="1" customWidth="1"/>
    <col min="8" max="9" width="13.6640625" bestFit="1" customWidth="1"/>
  </cols>
  <sheetData>
    <row r="1" spans="1:27" x14ac:dyDescent="0.2">
      <c r="A1" t="s">
        <v>0</v>
      </c>
      <c r="B1" t="s">
        <v>276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K1" t="s">
        <v>284</v>
      </c>
      <c r="L1" t="s">
        <v>285</v>
      </c>
      <c r="M1" t="s">
        <v>286</v>
      </c>
      <c r="N1" t="s">
        <v>287</v>
      </c>
      <c r="O1" t="s">
        <v>288</v>
      </c>
      <c r="P1" t="s">
        <v>289</v>
      </c>
      <c r="Q1" t="s">
        <v>290</v>
      </c>
      <c r="R1" t="s">
        <v>291</v>
      </c>
      <c r="S1" t="s">
        <v>292</v>
      </c>
      <c r="U1" t="s">
        <v>293</v>
      </c>
      <c r="V1" t="s">
        <v>294</v>
      </c>
      <c r="W1" t="s">
        <v>295</v>
      </c>
      <c r="X1" t="s">
        <v>296</v>
      </c>
      <c r="Y1" t="s">
        <v>297</v>
      </c>
      <c r="Z1" t="s">
        <v>298</v>
      </c>
      <c r="AA1" t="s">
        <v>299</v>
      </c>
    </row>
    <row r="2" spans="1:27" x14ac:dyDescent="0.2">
      <c r="A2" t="s">
        <v>226</v>
      </c>
      <c r="B2" t="s">
        <v>21</v>
      </c>
      <c r="C2" t="s">
        <v>107</v>
      </c>
      <c r="D2" t="s">
        <v>227</v>
      </c>
      <c r="E2" s="2">
        <v>19.762651052229199</v>
      </c>
      <c r="F2" s="2">
        <v>3.6613305720847098</v>
      </c>
      <c r="G2" s="2">
        <v>0.31914893617021201</v>
      </c>
      <c r="H2" s="2">
        <v>61.665819150019949</v>
      </c>
      <c r="I2" s="2">
        <v>9.8849064188852491</v>
      </c>
      <c r="K2" t="s">
        <v>106</v>
      </c>
      <c r="M2" t="s">
        <v>107</v>
      </c>
      <c r="O2">
        <v>11.37</v>
      </c>
      <c r="P2">
        <v>7.54</v>
      </c>
      <c r="Q2">
        <v>0.69</v>
      </c>
      <c r="R2">
        <v>43.51</v>
      </c>
      <c r="S2">
        <v>64.05</v>
      </c>
      <c r="U2" t="s">
        <v>23</v>
      </c>
    </row>
    <row r="3" spans="1:27" x14ac:dyDescent="0.2">
      <c r="A3" t="s">
        <v>226</v>
      </c>
      <c r="B3" t="s">
        <v>21</v>
      </c>
      <c r="C3" t="s">
        <v>108</v>
      </c>
      <c r="D3" t="s">
        <v>190</v>
      </c>
      <c r="E3" s="2">
        <v>0.10530634633366499</v>
      </c>
      <c r="F3" s="2">
        <v>5.0116578234570248</v>
      </c>
      <c r="G3" s="2">
        <v>61.7675022373408</v>
      </c>
      <c r="H3" s="2">
        <v>85.261773687089601</v>
      </c>
      <c r="I3" s="2">
        <v>63.944214328994747</v>
      </c>
      <c r="K3" t="s">
        <v>106</v>
      </c>
      <c r="M3" t="s">
        <v>108</v>
      </c>
      <c r="O3" t="s">
        <v>274</v>
      </c>
      <c r="P3">
        <v>3.13</v>
      </c>
      <c r="Q3" t="s">
        <v>274</v>
      </c>
      <c r="R3">
        <v>72.260000000000005</v>
      </c>
      <c r="S3">
        <v>74.489999999999995</v>
      </c>
      <c r="U3" t="s">
        <v>23</v>
      </c>
    </row>
    <row r="4" spans="1:27" x14ac:dyDescent="0.2">
      <c r="A4" t="s">
        <v>226</v>
      </c>
      <c r="B4" t="s">
        <v>21</v>
      </c>
      <c r="C4" t="s">
        <v>228</v>
      </c>
      <c r="D4" t="s">
        <v>193</v>
      </c>
      <c r="E4" s="2">
        <v>5.9342602951062702</v>
      </c>
      <c r="F4" s="2">
        <v>48.784111216363144</v>
      </c>
      <c r="G4" s="2">
        <v>8.6455246658726796</v>
      </c>
      <c r="H4" s="2">
        <v>53.574812266999601</v>
      </c>
      <c r="I4" s="2">
        <v>84.929266518695144</v>
      </c>
      <c r="K4" t="s">
        <v>106</v>
      </c>
      <c r="M4" t="s">
        <v>109</v>
      </c>
      <c r="O4">
        <v>0.78</v>
      </c>
      <c r="P4">
        <v>11.62</v>
      </c>
      <c r="Q4">
        <v>14.5</v>
      </c>
      <c r="R4">
        <v>33.99</v>
      </c>
      <c r="S4">
        <v>33.11</v>
      </c>
      <c r="U4" t="s">
        <v>23</v>
      </c>
    </row>
    <row r="5" spans="1:27" x14ac:dyDescent="0.2">
      <c r="A5" t="s">
        <v>226</v>
      </c>
      <c r="D5" t="s">
        <v>229</v>
      </c>
      <c r="E5" s="2">
        <v>100.99874308873335</v>
      </c>
      <c r="F5" s="2">
        <v>0.58660978490200499</v>
      </c>
      <c r="G5" s="2">
        <v>0.14946670066991</v>
      </c>
      <c r="H5" s="2">
        <v>138.65107451221334</v>
      </c>
      <c r="I5" s="2">
        <v>33.269933657831153</v>
      </c>
      <c r="K5" t="s">
        <v>106</v>
      </c>
      <c r="N5" t="s">
        <v>110</v>
      </c>
      <c r="O5" t="s">
        <v>274</v>
      </c>
      <c r="P5">
        <v>19.13</v>
      </c>
      <c r="Q5" t="s">
        <v>274</v>
      </c>
      <c r="R5" t="s">
        <v>274</v>
      </c>
      <c r="S5">
        <v>530.58000000000004</v>
      </c>
      <c r="U5" t="s">
        <v>23</v>
      </c>
      <c r="V5" t="s">
        <v>110</v>
      </c>
      <c r="W5">
        <v>2.5112227207499997</v>
      </c>
      <c r="X5">
        <v>10.138341139857143</v>
      </c>
      <c r="Y5">
        <v>7.4264388729999995</v>
      </c>
      <c r="Z5">
        <v>59.760330025000002</v>
      </c>
      <c r="AA5">
        <v>41.755577717999998</v>
      </c>
    </row>
    <row r="6" spans="1:27" x14ac:dyDescent="0.2">
      <c r="A6" t="s">
        <v>226</v>
      </c>
      <c r="D6" t="s">
        <v>230</v>
      </c>
      <c r="E6" s="2">
        <v>6.2846362190360043</v>
      </c>
      <c r="F6" s="2">
        <v>11.21312861387295</v>
      </c>
      <c r="G6" s="2">
        <v>1.8379502578273201</v>
      </c>
      <c r="H6" s="2">
        <v>87.061447556165447</v>
      </c>
      <c r="I6" s="2">
        <v>59.530714915803799</v>
      </c>
      <c r="K6" t="s">
        <v>106</v>
      </c>
      <c r="N6" t="s">
        <v>112</v>
      </c>
      <c r="O6">
        <v>3.49</v>
      </c>
      <c r="P6">
        <v>4.87</v>
      </c>
      <c r="Q6">
        <v>1.4</v>
      </c>
      <c r="R6">
        <v>92.17</v>
      </c>
      <c r="S6">
        <v>52.38</v>
      </c>
      <c r="U6" t="s">
        <v>23</v>
      </c>
      <c r="V6" t="s">
        <v>112</v>
      </c>
      <c r="W6">
        <v>3.1916666666666664</v>
      </c>
      <c r="X6">
        <v>26.465211676666666</v>
      </c>
      <c r="Y6">
        <v>10.498153257999999</v>
      </c>
      <c r="Z6">
        <v>81.228333333333339</v>
      </c>
      <c r="AA6">
        <v>61.550241047500002</v>
      </c>
    </row>
    <row r="7" spans="1:27" x14ac:dyDescent="0.2">
      <c r="A7" t="s">
        <v>226</v>
      </c>
      <c r="D7" t="s">
        <v>231</v>
      </c>
      <c r="E7" s="2" t="s">
        <v>274</v>
      </c>
      <c r="F7" s="2">
        <v>0.37199974070387548</v>
      </c>
      <c r="G7" s="2" t="s">
        <v>274</v>
      </c>
      <c r="H7" s="2">
        <v>73.564232636415696</v>
      </c>
      <c r="I7" s="2">
        <v>77.815314339861501</v>
      </c>
      <c r="K7" t="s">
        <v>106</v>
      </c>
      <c r="N7" t="s">
        <v>114</v>
      </c>
      <c r="O7" t="s">
        <v>274</v>
      </c>
      <c r="P7" t="s">
        <v>274</v>
      </c>
      <c r="Q7" t="s">
        <v>274</v>
      </c>
      <c r="R7" t="s">
        <v>274</v>
      </c>
      <c r="S7" t="s">
        <v>274</v>
      </c>
      <c r="U7" t="s">
        <v>23</v>
      </c>
      <c r="V7" t="s">
        <v>114</v>
      </c>
      <c r="W7">
        <v>0.36959853799999998</v>
      </c>
      <c r="X7">
        <v>6.6052154025000007</v>
      </c>
      <c r="Y7">
        <v>18.182061595</v>
      </c>
      <c r="Z7">
        <v>91.680950929999995</v>
      </c>
      <c r="AA7" t="s">
        <v>274</v>
      </c>
    </row>
    <row r="8" spans="1:27" x14ac:dyDescent="0.2">
      <c r="A8" t="s">
        <v>226</v>
      </c>
      <c r="D8" t="s">
        <v>232</v>
      </c>
      <c r="E8" s="2" t="s">
        <v>274</v>
      </c>
      <c r="F8" s="2">
        <v>4.1253449586856004</v>
      </c>
      <c r="G8" s="2" t="s">
        <v>274</v>
      </c>
      <c r="H8" s="2">
        <v>96.763000253204297</v>
      </c>
      <c r="I8" s="2">
        <v>81.321744785444508</v>
      </c>
      <c r="K8" t="s">
        <v>106</v>
      </c>
      <c r="N8" t="s">
        <v>115</v>
      </c>
      <c r="O8">
        <v>8.24</v>
      </c>
      <c r="P8">
        <v>2.63</v>
      </c>
      <c r="Q8">
        <v>0.32</v>
      </c>
      <c r="R8">
        <v>87.47</v>
      </c>
      <c r="S8">
        <v>77.31</v>
      </c>
      <c r="U8" t="s">
        <v>23</v>
      </c>
      <c r="V8" t="s">
        <v>115</v>
      </c>
      <c r="W8">
        <v>0.78333333333333333</v>
      </c>
      <c r="X8">
        <v>11.226124905999999</v>
      </c>
      <c r="Y8" s="4">
        <v>55.215969603999994</v>
      </c>
      <c r="Z8">
        <v>82.694999999999993</v>
      </c>
      <c r="AA8">
        <v>76.829753355714274</v>
      </c>
    </row>
    <row r="9" spans="1:27" x14ac:dyDescent="0.2">
      <c r="A9" t="s">
        <v>226</v>
      </c>
      <c r="D9" t="s">
        <v>233</v>
      </c>
      <c r="E9" s="2" t="s">
        <v>274</v>
      </c>
      <c r="F9" s="2">
        <v>3.3028696135755453</v>
      </c>
      <c r="G9" s="2" t="s">
        <v>274</v>
      </c>
      <c r="H9" s="2">
        <v>84.112843252207099</v>
      </c>
      <c r="I9" s="2">
        <v>60.189007035924504</v>
      </c>
      <c r="K9" t="s">
        <v>106</v>
      </c>
      <c r="N9" t="s">
        <v>116</v>
      </c>
      <c r="O9" t="s">
        <v>274</v>
      </c>
      <c r="P9" t="s">
        <v>274</v>
      </c>
      <c r="Q9" t="s">
        <v>274</v>
      </c>
      <c r="R9" t="s">
        <v>274</v>
      </c>
      <c r="S9" t="s">
        <v>274</v>
      </c>
      <c r="U9" t="s">
        <v>23</v>
      </c>
      <c r="V9" t="s">
        <v>116</v>
      </c>
      <c r="W9" t="s">
        <v>274</v>
      </c>
      <c r="X9">
        <v>56.03</v>
      </c>
      <c r="Y9" t="s">
        <v>274</v>
      </c>
      <c r="Z9" t="s">
        <v>274</v>
      </c>
      <c r="AA9">
        <v>58.175000000000004</v>
      </c>
    </row>
    <row r="10" spans="1:27" x14ac:dyDescent="0.2">
      <c r="A10" t="s">
        <v>226</v>
      </c>
      <c r="D10" t="s">
        <v>234</v>
      </c>
      <c r="E10" s="2">
        <v>1.6303783217291605</v>
      </c>
      <c r="F10" s="2">
        <v>9.9538488486569001</v>
      </c>
      <c r="G10" s="2">
        <v>7.6526213292134244</v>
      </c>
      <c r="H10" s="2">
        <v>68.438141182698843</v>
      </c>
      <c r="I10" s="2">
        <v>61.333058309357455</v>
      </c>
      <c r="K10" t="s">
        <v>106</v>
      </c>
      <c r="N10" t="s">
        <v>117</v>
      </c>
      <c r="O10">
        <v>5.28</v>
      </c>
      <c r="P10">
        <v>8.56</v>
      </c>
      <c r="Q10">
        <v>1.84</v>
      </c>
      <c r="R10">
        <v>55.52</v>
      </c>
      <c r="S10">
        <v>59.02</v>
      </c>
      <c r="U10" t="s">
        <v>23</v>
      </c>
      <c r="V10" t="s">
        <v>117</v>
      </c>
      <c r="W10">
        <v>0.54129414600000003</v>
      </c>
      <c r="X10">
        <v>12.338292969999999</v>
      </c>
      <c r="Y10">
        <v>44.144574274999997</v>
      </c>
      <c r="Z10">
        <v>100.5218265975</v>
      </c>
      <c r="AA10">
        <v>74.535198770000008</v>
      </c>
    </row>
    <row r="11" spans="1:27" x14ac:dyDescent="0.2">
      <c r="A11" t="s">
        <v>226</v>
      </c>
      <c r="D11" t="s">
        <v>235</v>
      </c>
      <c r="E11" s="2" t="s">
        <v>274</v>
      </c>
      <c r="F11" s="2">
        <v>5.1733142979385498</v>
      </c>
      <c r="G11" s="2" t="s">
        <v>274</v>
      </c>
      <c r="H11" s="2">
        <v>148.1515999807375</v>
      </c>
      <c r="I11" s="2">
        <v>31.63368683633745</v>
      </c>
      <c r="K11" t="s">
        <v>106</v>
      </c>
      <c r="N11" t="s">
        <v>118</v>
      </c>
      <c r="O11" t="s">
        <v>274</v>
      </c>
      <c r="P11">
        <v>8.08</v>
      </c>
      <c r="Q11" t="s">
        <v>274</v>
      </c>
      <c r="R11" t="s">
        <v>274</v>
      </c>
      <c r="S11">
        <v>211.39</v>
      </c>
      <c r="U11" t="s">
        <v>23</v>
      </c>
      <c r="V11" t="s">
        <v>118</v>
      </c>
      <c r="W11" t="s">
        <v>274</v>
      </c>
      <c r="X11">
        <v>4.3149999999999995</v>
      </c>
      <c r="Y11" t="s">
        <v>274</v>
      </c>
      <c r="Z11" t="s">
        <v>274</v>
      </c>
      <c r="AA11">
        <v>30.5</v>
      </c>
    </row>
    <row r="12" spans="1:27" x14ac:dyDescent="0.2">
      <c r="A12" t="s">
        <v>226</v>
      </c>
      <c r="D12" t="s">
        <v>236</v>
      </c>
      <c r="E12" s="2" t="s">
        <v>274</v>
      </c>
      <c r="F12" s="2">
        <v>0.97044380589867996</v>
      </c>
      <c r="G12" s="2" t="s">
        <v>274</v>
      </c>
      <c r="H12" s="2">
        <v>73.545374851635643</v>
      </c>
      <c r="I12" s="2">
        <v>61.917794515803003</v>
      </c>
      <c r="K12" t="s">
        <v>106</v>
      </c>
      <c r="N12" t="s">
        <v>119</v>
      </c>
      <c r="O12" t="s">
        <v>274</v>
      </c>
      <c r="P12" t="s">
        <v>274</v>
      </c>
      <c r="Q12" t="s">
        <v>274</v>
      </c>
      <c r="R12" t="s">
        <v>274</v>
      </c>
      <c r="S12" t="s">
        <v>274</v>
      </c>
      <c r="U12" t="s">
        <v>23</v>
      </c>
      <c r="V12" t="s">
        <v>119</v>
      </c>
      <c r="W12">
        <v>221.51499999999999</v>
      </c>
      <c r="X12" t="s">
        <v>274</v>
      </c>
      <c r="Y12" t="s">
        <v>274</v>
      </c>
      <c r="Z12">
        <v>417.5</v>
      </c>
      <c r="AA12" t="s">
        <v>274</v>
      </c>
    </row>
    <row r="13" spans="1:27" x14ac:dyDescent="0.2">
      <c r="A13" t="s">
        <v>226</v>
      </c>
      <c r="D13" t="s">
        <v>237</v>
      </c>
      <c r="E13" s="2">
        <v>12.71960854974585</v>
      </c>
      <c r="F13" s="2">
        <v>18.219555985182147</v>
      </c>
      <c r="G13" s="2">
        <v>1.43162097027002</v>
      </c>
      <c r="H13" s="2">
        <v>66.392662507529792</v>
      </c>
      <c r="I13" s="2">
        <v>56.783901964894198</v>
      </c>
      <c r="K13" t="s">
        <v>106</v>
      </c>
      <c r="N13" t="s">
        <v>120</v>
      </c>
      <c r="O13">
        <v>13.19</v>
      </c>
      <c r="P13">
        <v>10.78</v>
      </c>
      <c r="Q13">
        <v>0.92</v>
      </c>
      <c r="R13">
        <v>94.32</v>
      </c>
      <c r="S13">
        <v>61.39</v>
      </c>
      <c r="U13" t="s">
        <v>23</v>
      </c>
      <c r="V13" t="s">
        <v>120</v>
      </c>
      <c r="W13">
        <v>8.5304879170000003</v>
      </c>
      <c r="X13">
        <v>50.46587084883334</v>
      </c>
      <c r="Y13">
        <v>5.0538583553333334</v>
      </c>
      <c r="Z13">
        <v>72.485937961666664</v>
      </c>
      <c r="AA13">
        <v>60.67518295</v>
      </c>
    </row>
    <row r="14" spans="1:27" x14ac:dyDescent="0.2">
      <c r="A14" t="s">
        <v>226</v>
      </c>
      <c r="D14" t="s">
        <v>238</v>
      </c>
      <c r="E14" s="2">
        <v>2.6873866238751751</v>
      </c>
      <c r="F14" s="2">
        <v>23.391592766080699</v>
      </c>
      <c r="G14" s="2">
        <v>8.7120610777874496</v>
      </c>
      <c r="H14" s="2">
        <v>101.38889323013476</v>
      </c>
      <c r="I14" s="2">
        <v>69.105215303046606</v>
      </c>
      <c r="K14" t="s">
        <v>106</v>
      </c>
      <c r="N14" t="s">
        <v>122</v>
      </c>
      <c r="O14" t="s">
        <v>274</v>
      </c>
      <c r="P14">
        <v>22.53</v>
      </c>
      <c r="Q14" t="s">
        <v>274</v>
      </c>
      <c r="R14" t="s">
        <v>274</v>
      </c>
      <c r="S14">
        <v>49.9</v>
      </c>
      <c r="U14" t="s">
        <v>23</v>
      </c>
      <c r="V14" t="s">
        <v>122</v>
      </c>
      <c r="W14">
        <v>1.1599999999999999</v>
      </c>
      <c r="X14">
        <v>32.5</v>
      </c>
      <c r="Y14">
        <v>27.869999999999997</v>
      </c>
      <c r="Z14">
        <v>77</v>
      </c>
      <c r="AA14">
        <v>72.5</v>
      </c>
    </row>
    <row r="15" spans="1:27" x14ac:dyDescent="0.2">
      <c r="A15" t="s">
        <v>226</v>
      </c>
      <c r="D15" t="s">
        <v>239</v>
      </c>
      <c r="E15" s="2">
        <v>29.532237567495002</v>
      </c>
      <c r="F15" s="2">
        <v>6.1272243158089204</v>
      </c>
      <c r="G15" s="2">
        <v>0.20766762939816502</v>
      </c>
      <c r="H15" s="2">
        <v>82.797649881672356</v>
      </c>
      <c r="I15" s="2">
        <v>50.444086199849096</v>
      </c>
      <c r="K15" t="s">
        <v>106</v>
      </c>
      <c r="N15" t="s">
        <v>123</v>
      </c>
      <c r="O15">
        <v>4.95</v>
      </c>
      <c r="P15">
        <v>4.3899999999999997</v>
      </c>
      <c r="Q15">
        <v>1.08</v>
      </c>
      <c r="R15">
        <v>79.66</v>
      </c>
      <c r="S15">
        <v>51.33</v>
      </c>
      <c r="U15" t="s">
        <v>23</v>
      </c>
      <c r="V15" t="s">
        <v>123</v>
      </c>
      <c r="W15">
        <v>11.295</v>
      </c>
      <c r="X15">
        <v>6.1400000000000006</v>
      </c>
      <c r="Y15">
        <v>0.54</v>
      </c>
      <c r="Z15">
        <v>78</v>
      </c>
      <c r="AA15">
        <v>47.5</v>
      </c>
    </row>
    <row r="16" spans="1:27" x14ac:dyDescent="0.2">
      <c r="A16" t="s">
        <v>226</v>
      </c>
      <c r="D16" t="s">
        <v>240</v>
      </c>
      <c r="E16" s="2" t="s">
        <v>274</v>
      </c>
      <c r="F16" s="2">
        <v>1.094420471357765</v>
      </c>
      <c r="G16" s="2" t="s">
        <v>274</v>
      </c>
      <c r="H16" s="2">
        <v>71.432962761886557</v>
      </c>
      <c r="I16" s="2">
        <v>57.329136956579504</v>
      </c>
      <c r="K16" t="s">
        <v>106</v>
      </c>
      <c r="N16" t="s">
        <v>124</v>
      </c>
      <c r="O16" t="s">
        <v>274</v>
      </c>
      <c r="P16">
        <v>2.31</v>
      </c>
      <c r="Q16" t="s">
        <v>274</v>
      </c>
      <c r="R16" t="s">
        <v>274</v>
      </c>
      <c r="S16">
        <v>166.96</v>
      </c>
      <c r="U16" t="s">
        <v>23</v>
      </c>
      <c r="V16" t="s">
        <v>124</v>
      </c>
      <c r="W16" t="s">
        <v>274</v>
      </c>
      <c r="X16">
        <v>1.7050000000000001</v>
      </c>
      <c r="Y16" t="s">
        <v>274</v>
      </c>
      <c r="Z16" t="s">
        <v>274</v>
      </c>
      <c r="AA16">
        <v>73.5</v>
      </c>
    </row>
    <row r="17" spans="1:27" x14ac:dyDescent="0.2">
      <c r="A17" t="s">
        <v>226</v>
      </c>
      <c r="D17" t="s">
        <v>241</v>
      </c>
      <c r="E17" s="2">
        <v>12.347702951099734</v>
      </c>
      <c r="F17" s="2">
        <v>0.88454430678482088</v>
      </c>
      <c r="G17" s="2">
        <v>7.8845156925403101E-2</v>
      </c>
      <c r="H17" s="2">
        <v>53.116385564758851</v>
      </c>
      <c r="I17" s="2">
        <v>39.699574322298801</v>
      </c>
      <c r="K17" t="s">
        <v>106</v>
      </c>
      <c r="N17" t="s">
        <v>125</v>
      </c>
      <c r="O17" t="s">
        <v>274</v>
      </c>
      <c r="P17">
        <v>0.22</v>
      </c>
      <c r="Q17" t="s">
        <v>274</v>
      </c>
      <c r="R17" t="s">
        <v>274</v>
      </c>
      <c r="S17">
        <v>53.15</v>
      </c>
      <c r="U17" t="s">
        <v>23</v>
      </c>
      <c r="V17" t="s">
        <v>125</v>
      </c>
      <c r="W17">
        <v>0.40263646500000005</v>
      </c>
      <c r="X17">
        <v>1.2738040477499999</v>
      </c>
      <c r="Y17">
        <v>4.0276240227500004</v>
      </c>
      <c r="Z17">
        <v>39.421226087500003</v>
      </c>
      <c r="AA17">
        <v>43</v>
      </c>
    </row>
    <row r="18" spans="1:27" x14ac:dyDescent="0.2">
      <c r="A18" t="s">
        <v>226</v>
      </c>
      <c r="D18" t="s">
        <v>242</v>
      </c>
      <c r="E18" s="2">
        <v>3.47019416098219</v>
      </c>
      <c r="F18" s="2">
        <v>0.22691684826396299</v>
      </c>
      <c r="G18" s="2">
        <v>6.6831538279411754E-2</v>
      </c>
      <c r="H18" s="2">
        <v>35.974825326524751</v>
      </c>
      <c r="I18" s="2">
        <v>48.40473739117445</v>
      </c>
      <c r="K18" t="s">
        <v>106</v>
      </c>
      <c r="N18" t="s">
        <v>126</v>
      </c>
      <c r="O18" t="s">
        <v>274</v>
      </c>
      <c r="P18" t="s">
        <v>274</v>
      </c>
      <c r="Q18" t="s">
        <v>274</v>
      </c>
      <c r="R18" t="s">
        <v>274</v>
      </c>
      <c r="S18" t="s">
        <v>274</v>
      </c>
      <c r="U18" t="s">
        <v>23</v>
      </c>
      <c r="V18" t="s">
        <v>126</v>
      </c>
      <c r="W18">
        <v>0.77500000000000002</v>
      </c>
      <c r="X18">
        <v>0.81155801939999994</v>
      </c>
      <c r="Y18">
        <v>20.865000000000002</v>
      </c>
      <c r="Z18">
        <v>27.380000000000003</v>
      </c>
      <c r="AA18">
        <v>47.37312630571428</v>
      </c>
    </row>
    <row r="19" spans="1:27" x14ac:dyDescent="0.2">
      <c r="A19" t="s">
        <v>226</v>
      </c>
      <c r="D19" t="s">
        <v>243</v>
      </c>
      <c r="E19" s="2">
        <v>77.096491836952907</v>
      </c>
      <c r="F19" s="2">
        <v>20.274547648090898</v>
      </c>
      <c r="G19" s="2">
        <v>0.44580655320327051</v>
      </c>
      <c r="H19" s="2">
        <v>166.37835706420779</v>
      </c>
      <c r="I19" s="2">
        <v>64.046328693057603</v>
      </c>
      <c r="K19" t="s">
        <v>106</v>
      </c>
      <c r="N19" t="s">
        <v>128</v>
      </c>
      <c r="O19">
        <v>4.47</v>
      </c>
      <c r="P19">
        <v>6.6</v>
      </c>
      <c r="Q19">
        <v>4.21</v>
      </c>
      <c r="R19">
        <v>32.619999999999997</v>
      </c>
      <c r="S19">
        <v>25.81</v>
      </c>
      <c r="U19" t="s">
        <v>23</v>
      </c>
      <c r="V19" t="s">
        <v>128</v>
      </c>
      <c r="W19">
        <v>2.0049999999999999</v>
      </c>
      <c r="X19">
        <v>5.2200000000000006</v>
      </c>
      <c r="Y19">
        <v>2.6150000000000002</v>
      </c>
      <c r="Z19">
        <v>62.5</v>
      </c>
      <c r="AA19">
        <v>54</v>
      </c>
    </row>
    <row r="20" spans="1:27" x14ac:dyDescent="0.2">
      <c r="A20" t="s">
        <v>226</v>
      </c>
      <c r="D20" t="s">
        <v>244</v>
      </c>
      <c r="E20" s="2">
        <v>21.469293429998789</v>
      </c>
      <c r="F20" s="2">
        <v>42.278128945916997</v>
      </c>
      <c r="G20" s="2">
        <v>4.8738895773729825</v>
      </c>
      <c r="H20" s="2">
        <v>51.45146860322965</v>
      </c>
      <c r="I20" s="2">
        <v>125.23758158949114</v>
      </c>
      <c r="K20" t="s">
        <v>106</v>
      </c>
      <c r="N20" t="s">
        <v>129</v>
      </c>
      <c r="O20">
        <v>13.99</v>
      </c>
      <c r="P20">
        <v>4.46</v>
      </c>
      <c r="Q20">
        <v>0.32</v>
      </c>
      <c r="R20">
        <v>48.07</v>
      </c>
      <c r="S20">
        <v>30.82</v>
      </c>
      <c r="U20" t="s">
        <v>23</v>
      </c>
      <c r="V20" t="s">
        <v>129</v>
      </c>
      <c r="W20" t="s">
        <v>274</v>
      </c>
      <c r="X20">
        <v>10.625</v>
      </c>
      <c r="Y20" t="s">
        <v>274</v>
      </c>
      <c r="Z20" t="s">
        <v>274</v>
      </c>
      <c r="AA20">
        <v>66.5</v>
      </c>
    </row>
    <row r="21" spans="1:27" x14ac:dyDescent="0.2">
      <c r="A21" t="s">
        <v>226</v>
      </c>
      <c r="D21" t="s">
        <v>245</v>
      </c>
      <c r="E21" s="2">
        <v>2.5388205490885101</v>
      </c>
      <c r="F21" s="2">
        <v>4.9887275729242448</v>
      </c>
      <c r="G21" s="2">
        <v>2.0117310490026949</v>
      </c>
      <c r="H21" s="2">
        <v>56.663541519924905</v>
      </c>
      <c r="I21" s="2">
        <v>62.669738087551998</v>
      </c>
      <c r="K21" t="s">
        <v>106</v>
      </c>
      <c r="N21" t="s">
        <v>130</v>
      </c>
      <c r="O21">
        <v>3.42</v>
      </c>
      <c r="P21">
        <v>2.2200000000000002</v>
      </c>
      <c r="Q21">
        <v>0.66</v>
      </c>
      <c r="R21">
        <v>64.349999999999994</v>
      </c>
      <c r="S21">
        <v>55.05</v>
      </c>
      <c r="U21" t="s">
        <v>23</v>
      </c>
      <c r="V21" t="s">
        <v>130</v>
      </c>
      <c r="W21">
        <v>1.93</v>
      </c>
      <c r="X21">
        <v>6.5299999999999994</v>
      </c>
      <c r="Y21">
        <v>3.3849999999999998</v>
      </c>
      <c r="Z21">
        <v>64</v>
      </c>
      <c r="AA21">
        <v>63.5</v>
      </c>
    </row>
    <row r="22" spans="1:27" x14ac:dyDescent="0.2">
      <c r="A22" t="s">
        <v>226</v>
      </c>
      <c r="D22" t="s">
        <v>246</v>
      </c>
      <c r="E22" s="2">
        <v>1.023885743022533</v>
      </c>
      <c r="F22" s="2">
        <v>17.064497619465548</v>
      </c>
      <c r="G22" s="2">
        <v>16.669983559176302</v>
      </c>
      <c r="H22" s="2">
        <v>85.10133832200151</v>
      </c>
      <c r="I22" s="2">
        <v>73.543513329144602</v>
      </c>
      <c r="K22" t="s">
        <v>106</v>
      </c>
      <c r="N22" t="s">
        <v>131</v>
      </c>
      <c r="O22">
        <v>0.4</v>
      </c>
      <c r="P22">
        <v>12.39</v>
      </c>
      <c r="Q22">
        <v>31.86</v>
      </c>
      <c r="R22">
        <v>87.58</v>
      </c>
      <c r="S22">
        <v>78.989999999999995</v>
      </c>
      <c r="U22" t="s">
        <v>23</v>
      </c>
      <c r="V22" t="s">
        <v>131</v>
      </c>
      <c r="W22">
        <v>0.57000000000000006</v>
      </c>
      <c r="X22">
        <v>22.520000000000003</v>
      </c>
      <c r="Y22" s="4">
        <v>40.085000000000001</v>
      </c>
      <c r="Z22">
        <v>73.5</v>
      </c>
      <c r="AA22">
        <v>75.5</v>
      </c>
    </row>
    <row r="23" spans="1:27" x14ac:dyDescent="0.2">
      <c r="A23" t="s">
        <v>226</v>
      </c>
      <c r="D23" t="s">
        <v>247</v>
      </c>
      <c r="E23" s="2">
        <v>0.970813994878166</v>
      </c>
      <c r="F23" s="2">
        <v>5.2241589486600901</v>
      </c>
      <c r="G23" s="2">
        <v>5.2322806931036503</v>
      </c>
      <c r="H23" s="2">
        <v>63.039162606043803</v>
      </c>
      <c r="I23" s="2">
        <v>60.718173078128501</v>
      </c>
      <c r="K23" t="s">
        <v>106</v>
      </c>
      <c r="N23" t="s">
        <v>132</v>
      </c>
      <c r="O23">
        <v>11.31</v>
      </c>
      <c r="P23">
        <v>3.61</v>
      </c>
      <c r="Q23">
        <v>0.32</v>
      </c>
      <c r="R23">
        <v>77.27</v>
      </c>
      <c r="S23">
        <v>63.32</v>
      </c>
      <c r="U23" t="s">
        <v>23</v>
      </c>
      <c r="V23" t="s">
        <v>132</v>
      </c>
      <c r="W23">
        <v>1.1499999999999999</v>
      </c>
      <c r="X23">
        <v>8.43</v>
      </c>
      <c r="Y23">
        <v>7.3599999999999994</v>
      </c>
      <c r="Z23">
        <v>69</v>
      </c>
      <c r="AA23">
        <v>69.5</v>
      </c>
    </row>
    <row r="24" spans="1:27" x14ac:dyDescent="0.2">
      <c r="A24" t="s">
        <v>226</v>
      </c>
      <c r="D24" t="s">
        <v>248</v>
      </c>
      <c r="E24" s="2">
        <v>1.3175909469365099</v>
      </c>
      <c r="F24" s="2">
        <v>2.472621906755355</v>
      </c>
      <c r="G24" s="2">
        <v>1.9090627148710149</v>
      </c>
      <c r="H24" s="2">
        <v>93.371371779862358</v>
      </c>
      <c r="I24" s="2">
        <v>60.476282365490306</v>
      </c>
      <c r="K24" t="s">
        <v>106</v>
      </c>
      <c r="N24" t="s">
        <v>133</v>
      </c>
      <c r="O24" t="s">
        <v>274</v>
      </c>
      <c r="P24">
        <v>3.04</v>
      </c>
      <c r="Q24" t="s">
        <v>274</v>
      </c>
      <c r="R24" t="s">
        <v>274</v>
      </c>
      <c r="S24">
        <v>65.3</v>
      </c>
      <c r="U24" t="s">
        <v>23</v>
      </c>
      <c r="V24" t="s">
        <v>133</v>
      </c>
      <c r="W24">
        <v>1.4350000000000001</v>
      </c>
      <c r="X24">
        <v>3.4850000000000003</v>
      </c>
      <c r="Y24">
        <v>2.415</v>
      </c>
      <c r="Z24">
        <v>75.5</v>
      </c>
      <c r="AA24">
        <v>51.5</v>
      </c>
    </row>
    <row r="25" spans="1:27" x14ac:dyDescent="0.2">
      <c r="A25" t="s">
        <v>226</v>
      </c>
      <c r="D25" t="s">
        <v>249</v>
      </c>
      <c r="E25" s="2" t="s">
        <v>274</v>
      </c>
      <c r="F25" s="2" t="s">
        <v>274</v>
      </c>
      <c r="G25" s="2" t="s">
        <v>274</v>
      </c>
      <c r="H25" s="2">
        <v>0</v>
      </c>
      <c r="I25" s="2">
        <v>37.469510269902301</v>
      </c>
      <c r="K25" t="s">
        <v>106</v>
      </c>
      <c r="N25" t="s">
        <v>134</v>
      </c>
      <c r="O25" t="s">
        <v>274</v>
      </c>
      <c r="P25">
        <v>0.48</v>
      </c>
      <c r="Q25" t="s">
        <v>274</v>
      </c>
      <c r="R25" t="s">
        <v>274</v>
      </c>
      <c r="S25">
        <v>40.5</v>
      </c>
      <c r="U25" t="s">
        <v>23</v>
      </c>
      <c r="V25" t="s">
        <v>274</v>
      </c>
      <c r="W25" t="s">
        <v>274</v>
      </c>
      <c r="X25" t="s">
        <v>274</v>
      </c>
      <c r="Y25" t="s">
        <v>274</v>
      </c>
      <c r="Z25" t="s">
        <v>274</v>
      </c>
      <c r="AA25" t="s">
        <v>274</v>
      </c>
    </row>
    <row r="26" spans="1:27" x14ac:dyDescent="0.2">
      <c r="A26" t="s">
        <v>226</v>
      </c>
      <c r="D26" t="s">
        <v>250</v>
      </c>
      <c r="E26" s="2">
        <v>1.4977051991317301</v>
      </c>
      <c r="F26" s="2">
        <v>3.5089066310395101</v>
      </c>
      <c r="G26" s="2">
        <v>2.5268282692471802</v>
      </c>
      <c r="H26" s="2">
        <v>31.064838737164052</v>
      </c>
      <c r="I26" s="2">
        <v>46.854847045070798</v>
      </c>
      <c r="K26" t="s">
        <v>106</v>
      </c>
      <c r="N26" t="s">
        <v>135</v>
      </c>
      <c r="O26">
        <v>10.220000000000001</v>
      </c>
      <c r="P26">
        <v>7.03</v>
      </c>
      <c r="Q26">
        <v>0.69</v>
      </c>
      <c r="R26">
        <v>47.1</v>
      </c>
      <c r="S26">
        <v>57.7</v>
      </c>
      <c r="U26" t="s">
        <v>23</v>
      </c>
      <c r="V26" t="s">
        <v>135</v>
      </c>
      <c r="W26">
        <v>5.2392805874999997</v>
      </c>
      <c r="X26">
        <v>29.199502880000001</v>
      </c>
      <c r="Y26">
        <v>6.0501922836666671</v>
      </c>
      <c r="Z26">
        <v>60.468674983333329</v>
      </c>
      <c r="AA26">
        <v>69.480406254999991</v>
      </c>
    </row>
    <row r="27" spans="1:27" x14ac:dyDescent="0.2">
      <c r="A27" t="s">
        <v>226</v>
      </c>
      <c r="D27" t="s">
        <v>251</v>
      </c>
      <c r="E27" s="2">
        <v>5.5024042325937206</v>
      </c>
      <c r="F27" s="2">
        <v>28.259551576522551</v>
      </c>
      <c r="G27" s="2">
        <v>5.1483627920012296</v>
      </c>
      <c r="H27" s="2">
        <v>89.783587058725544</v>
      </c>
      <c r="I27" s="2">
        <v>68.248384721759891</v>
      </c>
      <c r="K27" t="s">
        <v>106</v>
      </c>
      <c r="N27" t="s">
        <v>137</v>
      </c>
      <c r="O27">
        <v>3.15</v>
      </c>
      <c r="P27">
        <v>23.56</v>
      </c>
      <c r="Q27">
        <v>8.7100000000000009</v>
      </c>
      <c r="R27">
        <v>107.4</v>
      </c>
      <c r="S27">
        <v>72.11</v>
      </c>
      <c r="U27" t="s">
        <v>23</v>
      </c>
      <c r="V27" t="s">
        <v>137</v>
      </c>
      <c r="W27">
        <v>4.3425000000000002</v>
      </c>
      <c r="X27">
        <v>82.492500000000007</v>
      </c>
      <c r="Y27">
        <v>27.5</v>
      </c>
      <c r="Z27">
        <v>79.14500000000001</v>
      </c>
      <c r="AA27">
        <v>70.202500000000001</v>
      </c>
    </row>
    <row r="28" spans="1:27" x14ac:dyDescent="0.2">
      <c r="A28" t="s">
        <v>226</v>
      </c>
      <c r="D28" t="s">
        <v>252</v>
      </c>
      <c r="E28" s="2">
        <v>1.5263009779546501</v>
      </c>
      <c r="F28" s="2">
        <v>18.454114206506702</v>
      </c>
      <c r="G28" s="2">
        <v>12.16888524815268</v>
      </c>
      <c r="H28" s="2">
        <v>86.336058241496943</v>
      </c>
      <c r="I28" s="2">
        <v>66.127234587931</v>
      </c>
      <c r="K28" t="s">
        <v>106</v>
      </c>
      <c r="N28" t="s">
        <v>139</v>
      </c>
      <c r="O28">
        <v>0.73</v>
      </c>
      <c r="P28">
        <v>14.4</v>
      </c>
      <c r="Q28">
        <v>28.82</v>
      </c>
      <c r="R28">
        <v>107.2</v>
      </c>
      <c r="S28">
        <v>59.95</v>
      </c>
      <c r="U28" t="s">
        <v>23</v>
      </c>
      <c r="V28" t="s">
        <v>139</v>
      </c>
      <c r="W28" t="s">
        <v>274</v>
      </c>
      <c r="X28">
        <v>24.17</v>
      </c>
      <c r="Y28" t="s">
        <v>274</v>
      </c>
      <c r="Z28" t="s">
        <v>274</v>
      </c>
      <c r="AA28">
        <v>81.5</v>
      </c>
    </row>
    <row r="29" spans="1:27" x14ac:dyDescent="0.2">
      <c r="A29" t="s">
        <v>226</v>
      </c>
      <c r="D29" t="s">
        <v>253</v>
      </c>
      <c r="E29" s="2">
        <v>8.9221651056592801</v>
      </c>
      <c r="F29" s="2">
        <v>11.284878686370099</v>
      </c>
      <c r="G29" s="2">
        <v>1.272234933229925</v>
      </c>
      <c r="H29" s="2">
        <v>67.844379100981342</v>
      </c>
      <c r="I29" s="2">
        <v>63.201625470613898</v>
      </c>
      <c r="K29" t="s">
        <v>106</v>
      </c>
      <c r="N29" t="s">
        <v>140</v>
      </c>
      <c r="O29">
        <v>6.97</v>
      </c>
      <c r="P29">
        <v>8.17</v>
      </c>
      <c r="Q29">
        <v>1.18</v>
      </c>
      <c r="R29">
        <v>88.75</v>
      </c>
      <c r="S29">
        <v>65.47</v>
      </c>
      <c r="U29" t="s">
        <v>23</v>
      </c>
      <c r="V29" t="s">
        <v>140</v>
      </c>
      <c r="W29">
        <v>1.95</v>
      </c>
      <c r="X29">
        <v>8.004999999999999</v>
      </c>
      <c r="Y29">
        <v>4.1099999999999994</v>
      </c>
      <c r="Z29">
        <v>59</v>
      </c>
      <c r="AA29">
        <v>63</v>
      </c>
    </row>
    <row r="30" spans="1:27" x14ac:dyDescent="0.2">
      <c r="A30" t="s">
        <v>226</v>
      </c>
      <c r="D30" t="s">
        <v>254</v>
      </c>
      <c r="E30" s="2">
        <v>297.56814807158798</v>
      </c>
      <c r="F30" s="2">
        <v>102.36789176050306</v>
      </c>
      <c r="G30" s="2">
        <v>0.353389487223216</v>
      </c>
      <c r="H30" s="2">
        <v>550.28285038471051</v>
      </c>
      <c r="I30" s="2">
        <v>185.41470600340551</v>
      </c>
      <c r="K30" t="s">
        <v>106</v>
      </c>
      <c r="N30" t="s">
        <v>141</v>
      </c>
      <c r="O30">
        <v>150.19999999999999</v>
      </c>
      <c r="P30">
        <v>44.39</v>
      </c>
      <c r="Q30">
        <v>0.3</v>
      </c>
      <c r="R30">
        <v>273.18</v>
      </c>
      <c r="S30">
        <v>76.099999999999994</v>
      </c>
      <c r="U30" t="s">
        <v>23</v>
      </c>
      <c r="V30" t="s">
        <v>141</v>
      </c>
      <c r="W30" t="s">
        <v>274</v>
      </c>
      <c r="X30">
        <v>0.33</v>
      </c>
      <c r="Y30" t="s">
        <v>274</v>
      </c>
      <c r="Z30" t="s">
        <v>274</v>
      </c>
      <c r="AA30">
        <v>57</v>
      </c>
    </row>
    <row r="31" spans="1:27" x14ac:dyDescent="0.2">
      <c r="A31" t="s">
        <v>226</v>
      </c>
      <c r="D31" t="s">
        <v>255</v>
      </c>
      <c r="E31" s="2">
        <v>0.75030320122950056</v>
      </c>
      <c r="F31" s="2">
        <v>17.847797325226047</v>
      </c>
      <c r="G31" s="2">
        <v>24.271148316484748</v>
      </c>
      <c r="H31" s="2">
        <v>91.993367907763201</v>
      </c>
      <c r="I31" s="2">
        <v>62.930300724754701</v>
      </c>
      <c r="K31" t="s">
        <v>106</v>
      </c>
      <c r="N31" t="s">
        <v>142</v>
      </c>
      <c r="O31">
        <v>1.34</v>
      </c>
      <c r="P31">
        <v>0.43</v>
      </c>
      <c r="Q31">
        <v>0.32</v>
      </c>
      <c r="R31">
        <v>121.28</v>
      </c>
      <c r="S31">
        <v>119.62</v>
      </c>
      <c r="U31" t="s">
        <v>23</v>
      </c>
      <c r="V31" t="s">
        <v>142</v>
      </c>
      <c r="W31">
        <v>0.7</v>
      </c>
      <c r="X31">
        <v>18.68</v>
      </c>
      <c r="Y31">
        <v>27.07</v>
      </c>
      <c r="Z31">
        <v>72</v>
      </c>
      <c r="AA31">
        <v>63.5</v>
      </c>
    </row>
    <row r="32" spans="1:27" x14ac:dyDescent="0.2">
      <c r="A32" t="s">
        <v>226</v>
      </c>
      <c r="D32" t="s">
        <v>256</v>
      </c>
      <c r="E32" s="2">
        <v>14.318038213447096</v>
      </c>
      <c r="F32" s="2">
        <v>8.148159993971646</v>
      </c>
      <c r="G32" s="2">
        <v>0.67858827606724104</v>
      </c>
      <c r="H32" s="2">
        <v>52.496683154134253</v>
      </c>
      <c r="I32" s="2">
        <v>32.82584039724685</v>
      </c>
      <c r="K32" t="s">
        <v>106</v>
      </c>
      <c r="N32" t="s">
        <v>143</v>
      </c>
      <c r="O32">
        <v>7.72</v>
      </c>
      <c r="P32">
        <v>14.21</v>
      </c>
      <c r="Q32">
        <v>1.7</v>
      </c>
      <c r="R32">
        <v>21.68</v>
      </c>
      <c r="S32">
        <v>34.15</v>
      </c>
      <c r="U32" t="s">
        <v>23</v>
      </c>
      <c r="V32" t="s">
        <v>143</v>
      </c>
      <c r="W32">
        <v>13.94</v>
      </c>
      <c r="X32">
        <v>16.740000000000002</v>
      </c>
      <c r="Y32">
        <v>1.22</v>
      </c>
      <c r="Z32">
        <v>80.775000000000006</v>
      </c>
      <c r="AA32">
        <v>64.08</v>
      </c>
    </row>
    <row r="33" spans="1:27" x14ac:dyDescent="0.2">
      <c r="A33" t="s">
        <v>226</v>
      </c>
      <c r="D33" t="s">
        <v>257</v>
      </c>
      <c r="E33" s="2">
        <v>60.483388156777551</v>
      </c>
      <c r="F33" s="2">
        <v>10.5089150565552</v>
      </c>
      <c r="G33" s="2">
        <v>0.187700735399011</v>
      </c>
      <c r="H33" s="2">
        <v>112.39934458794654</v>
      </c>
      <c r="I33" s="2">
        <v>28.886183540346501</v>
      </c>
      <c r="K33" t="s">
        <v>106</v>
      </c>
      <c r="N33" t="s">
        <v>144</v>
      </c>
      <c r="O33">
        <v>10.55</v>
      </c>
      <c r="P33">
        <v>13.9</v>
      </c>
      <c r="Q33">
        <v>1.25</v>
      </c>
      <c r="R33">
        <v>57.74</v>
      </c>
      <c r="S33">
        <v>34.39</v>
      </c>
      <c r="U33" t="s">
        <v>23</v>
      </c>
      <c r="V33" t="s">
        <v>144</v>
      </c>
      <c r="W33">
        <v>16.61</v>
      </c>
      <c r="X33">
        <v>27.155000000000001</v>
      </c>
      <c r="Y33">
        <v>1.6400000000000001</v>
      </c>
      <c r="Z33">
        <v>76.27000000000001</v>
      </c>
      <c r="AA33">
        <v>69.87</v>
      </c>
    </row>
    <row r="34" spans="1:27" x14ac:dyDescent="0.2">
      <c r="A34" t="s">
        <v>226</v>
      </c>
      <c r="D34" t="s">
        <v>258</v>
      </c>
      <c r="E34" s="2" t="s">
        <v>274</v>
      </c>
      <c r="F34" s="2" t="s">
        <v>274</v>
      </c>
      <c r="G34" s="2" t="s">
        <v>274</v>
      </c>
      <c r="H34" s="2">
        <v>0</v>
      </c>
      <c r="I34" s="2">
        <v>113.91291382312681</v>
      </c>
      <c r="K34" t="s">
        <v>106</v>
      </c>
      <c r="N34" t="s">
        <v>145</v>
      </c>
      <c r="O34" t="s">
        <v>274</v>
      </c>
      <c r="P34" t="s">
        <v>274</v>
      </c>
      <c r="Q34" t="s">
        <v>274</v>
      </c>
      <c r="R34" t="s">
        <v>274</v>
      </c>
      <c r="S34" t="s">
        <v>274</v>
      </c>
      <c r="U34" t="s">
        <v>23</v>
      </c>
      <c r="V34" t="s">
        <v>145</v>
      </c>
      <c r="W34" t="s">
        <v>274</v>
      </c>
      <c r="X34">
        <v>11.705</v>
      </c>
      <c r="Y34" t="s">
        <v>274</v>
      </c>
      <c r="Z34" t="s">
        <v>274</v>
      </c>
      <c r="AA34">
        <v>30.5</v>
      </c>
    </row>
    <row r="35" spans="1:27" x14ac:dyDescent="0.2">
      <c r="A35" t="s">
        <v>226</v>
      </c>
      <c r="D35" t="s">
        <v>259</v>
      </c>
      <c r="E35" s="2" t="s">
        <v>274</v>
      </c>
      <c r="F35" s="2">
        <v>1.0450488887389</v>
      </c>
      <c r="G35" s="2" t="s">
        <v>274</v>
      </c>
      <c r="H35" s="2">
        <v>75.397285071579944</v>
      </c>
      <c r="I35" s="2">
        <v>68.749633186654549</v>
      </c>
      <c r="K35" t="s">
        <v>106</v>
      </c>
      <c r="N35" t="s">
        <v>146</v>
      </c>
      <c r="O35" t="s">
        <v>274</v>
      </c>
      <c r="P35">
        <v>2.0099999999999998</v>
      </c>
      <c r="Q35" t="s">
        <v>274</v>
      </c>
      <c r="R35" t="s">
        <v>274</v>
      </c>
      <c r="S35">
        <v>71.959999999999994</v>
      </c>
      <c r="U35" t="s">
        <v>23</v>
      </c>
      <c r="V35" t="s">
        <v>146</v>
      </c>
      <c r="W35" t="s">
        <v>274</v>
      </c>
      <c r="X35">
        <v>8.7349999999999994</v>
      </c>
      <c r="Y35" t="s">
        <v>274</v>
      </c>
      <c r="Z35" t="s">
        <v>274</v>
      </c>
      <c r="AA35">
        <v>76.5</v>
      </c>
    </row>
    <row r="36" spans="1:27" x14ac:dyDescent="0.2">
      <c r="A36" t="s">
        <v>226</v>
      </c>
      <c r="D36" t="s">
        <v>260</v>
      </c>
      <c r="E36" s="2">
        <v>28.2433176178377</v>
      </c>
      <c r="F36" s="2">
        <v>0.74037163302798104</v>
      </c>
      <c r="G36" s="2">
        <v>1.6938128567237299E-2</v>
      </c>
      <c r="H36" s="2">
        <v>41.657015384863001</v>
      </c>
      <c r="I36" s="2">
        <v>31.417498899928802</v>
      </c>
      <c r="K36" t="s">
        <v>106</v>
      </c>
      <c r="N36" t="s">
        <v>147</v>
      </c>
      <c r="O36" t="s">
        <v>274</v>
      </c>
      <c r="P36" t="s">
        <v>274</v>
      </c>
      <c r="Q36" t="s">
        <v>274</v>
      </c>
      <c r="R36" t="s">
        <v>274</v>
      </c>
      <c r="S36" t="s">
        <v>274</v>
      </c>
      <c r="U36" t="s">
        <v>23</v>
      </c>
      <c r="V36" t="s">
        <v>147</v>
      </c>
      <c r="W36">
        <v>0.60499999999999998</v>
      </c>
      <c r="X36">
        <v>0.29000000000000004</v>
      </c>
      <c r="Y36">
        <v>0.69499999999999995</v>
      </c>
      <c r="Z36">
        <v>36</v>
      </c>
      <c r="AA36">
        <v>45</v>
      </c>
    </row>
    <row r="37" spans="1:27" x14ac:dyDescent="0.2">
      <c r="A37" t="s">
        <v>226</v>
      </c>
      <c r="D37" t="s">
        <v>261</v>
      </c>
      <c r="E37" s="2" t="s">
        <v>274</v>
      </c>
      <c r="F37" s="2">
        <v>9.4288223930761301</v>
      </c>
      <c r="G37" s="2" t="s">
        <v>274</v>
      </c>
      <c r="H37" s="2">
        <v>145.64723037051351</v>
      </c>
      <c r="I37" s="2">
        <v>31.381565324063452</v>
      </c>
      <c r="K37" t="s">
        <v>106</v>
      </c>
      <c r="N37" t="s">
        <v>148</v>
      </c>
      <c r="O37" t="s">
        <v>274</v>
      </c>
      <c r="P37" t="s">
        <v>274</v>
      </c>
      <c r="Q37" t="s">
        <v>274</v>
      </c>
      <c r="R37" t="s">
        <v>274</v>
      </c>
      <c r="S37" t="s">
        <v>274</v>
      </c>
      <c r="U37" t="s">
        <v>23</v>
      </c>
      <c r="V37" t="s">
        <v>148</v>
      </c>
      <c r="W37" t="s">
        <v>274</v>
      </c>
      <c r="X37">
        <v>9.48</v>
      </c>
      <c r="Y37" t="s">
        <v>274</v>
      </c>
      <c r="Z37" t="s">
        <v>274</v>
      </c>
      <c r="AA37">
        <v>34.5</v>
      </c>
    </row>
    <row r="38" spans="1:27" x14ac:dyDescent="0.2">
      <c r="A38" t="s">
        <v>226</v>
      </c>
      <c r="D38" t="s">
        <v>262</v>
      </c>
      <c r="E38" s="2" t="s">
        <v>274</v>
      </c>
      <c r="F38" s="2">
        <v>1.3800777284665195</v>
      </c>
      <c r="G38" s="2" t="s">
        <v>274</v>
      </c>
      <c r="H38" s="2">
        <v>59.691972596397747</v>
      </c>
      <c r="I38" s="2">
        <v>39.196193226600656</v>
      </c>
      <c r="K38" t="s">
        <v>106</v>
      </c>
      <c r="N38" t="s">
        <v>149</v>
      </c>
      <c r="O38" t="s">
        <v>274</v>
      </c>
      <c r="P38" t="s">
        <v>274</v>
      </c>
      <c r="Q38" t="s">
        <v>274</v>
      </c>
      <c r="R38" t="s">
        <v>274</v>
      </c>
      <c r="S38" t="s">
        <v>274</v>
      </c>
      <c r="U38" t="s">
        <v>23</v>
      </c>
      <c r="V38" t="s">
        <v>149</v>
      </c>
      <c r="W38">
        <v>0.38500000000000001</v>
      </c>
      <c r="X38">
        <v>1.2799999999999998</v>
      </c>
      <c r="Y38">
        <v>3.3450000000000002</v>
      </c>
      <c r="Z38">
        <v>70.16</v>
      </c>
      <c r="AA38">
        <v>50.41</v>
      </c>
    </row>
    <row r="39" spans="1:27" x14ac:dyDescent="0.2">
      <c r="A39" t="s">
        <v>226</v>
      </c>
      <c r="D39" t="s">
        <v>263</v>
      </c>
      <c r="E39" s="2">
        <v>5.7525446005356304</v>
      </c>
      <c r="F39" s="2">
        <v>19.502340573096848</v>
      </c>
      <c r="G39" s="2">
        <v>3.390918162258195</v>
      </c>
      <c r="H39" s="2">
        <v>59.242754336815196</v>
      </c>
      <c r="I39" s="2">
        <v>54.289013820722701</v>
      </c>
      <c r="K39" t="s">
        <v>106</v>
      </c>
      <c r="N39" t="s">
        <v>150</v>
      </c>
      <c r="O39">
        <v>7.99</v>
      </c>
      <c r="P39">
        <v>23.86</v>
      </c>
      <c r="Q39">
        <v>2.99</v>
      </c>
      <c r="R39">
        <v>74.28</v>
      </c>
      <c r="S39">
        <v>53</v>
      </c>
      <c r="U39" t="s">
        <v>23</v>
      </c>
      <c r="V39" t="s">
        <v>150</v>
      </c>
      <c r="W39">
        <v>6.0674999999999999</v>
      </c>
      <c r="X39">
        <v>33.229999999999997</v>
      </c>
      <c r="Y39">
        <v>5.32</v>
      </c>
      <c r="Z39">
        <v>84.195000000000007</v>
      </c>
      <c r="AA39">
        <v>72.837500000000006</v>
      </c>
    </row>
    <row r="40" spans="1:27" x14ac:dyDescent="0.2">
      <c r="A40" t="s">
        <v>226</v>
      </c>
      <c r="D40" t="s">
        <v>264</v>
      </c>
      <c r="E40" s="2" t="s">
        <v>274</v>
      </c>
      <c r="F40" s="2" t="s">
        <v>274</v>
      </c>
      <c r="G40" s="2" t="s">
        <v>274</v>
      </c>
      <c r="H40" s="2">
        <v>0</v>
      </c>
      <c r="I40" s="2">
        <v>0</v>
      </c>
      <c r="K40" t="s">
        <v>106</v>
      </c>
      <c r="N40" t="s">
        <v>151</v>
      </c>
      <c r="O40" t="s">
        <v>274</v>
      </c>
      <c r="P40">
        <v>64.13</v>
      </c>
      <c r="Q40" t="s">
        <v>274</v>
      </c>
      <c r="R40" t="s">
        <v>274</v>
      </c>
      <c r="S40" t="s">
        <v>274</v>
      </c>
      <c r="U40" t="s">
        <v>23</v>
      </c>
      <c r="V40" t="s">
        <v>151</v>
      </c>
      <c r="W40" t="s">
        <v>274</v>
      </c>
      <c r="X40" t="s">
        <v>274</v>
      </c>
      <c r="Y40" t="s">
        <v>274</v>
      </c>
      <c r="Z40" t="s">
        <v>274</v>
      </c>
      <c r="AA40" t="s">
        <v>274</v>
      </c>
    </row>
    <row r="41" spans="1:27" x14ac:dyDescent="0.2">
      <c r="A41" t="s">
        <v>226</v>
      </c>
      <c r="D41" t="s">
        <v>265</v>
      </c>
      <c r="E41" s="2" t="s">
        <v>274</v>
      </c>
      <c r="F41" s="2">
        <v>22.338314078326547</v>
      </c>
      <c r="G41" s="2" t="s">
        <v>274</v>
      </c>
      <c r="H41" s="2">
        <v>48.89105785062155</v>
      </c>
      <c r="I41" s="2">
        <v>55.021146134303748</v>
      </c>
      <c r="K41" t="s">
        <v>106</v>
      </c>
      <c r="N41" t="s">
        <v>152</v>
      </c>
      <c r="O41" t="s">
        <v>274</v>
      </c>
      <c r="P41">
        <v>10.56</v>
      </c>
      <c r="Q41" t="s">
        <v>274</v>
      </c>
      <c r="R41" t="s">
        <v>274</v>
      </c>
      <c r="S41">
        <v>49.96</v>
      </c>
      <c r="U41" t="s">
        <v>23</v>
      </c>
      <c r="V41" t="s">
        <v>152</v>
      </c>
      <c r="W41">
        <v>10.99</v>
      </c>
      <c r="X41">
        <v>29.43</v>
      </c>
      <c r="Y41">
        <v>2.73</v>
      </c>
      <c r="Z41">
        <v>92.5</v>
      </c>
      <c r="AA41">
        <v>75.5</v>
      </c>
    </row>
    <row r="42" spans="1:27" x14ac:dyDescent="0.2">
      <c r="A42" t="s">
        <v>226</v>
      </c>
      <c r="D42" t="s">
        <v>266</v>
      </c>
      <c r="E42" s="2">
        <v>6.0342047709081594</v>
      </c>
      <c r="F42" s="2">
        <v>8.9832399177456246</v>
      </c>
      <c r="G42" s="2">
        <v>1.52973078361307</v>
      </c>
      <c r="H42" s="2">
        <v>83.559870819601798</v>
      </c>
      <c r="I42" s="2">
        <v>58.204430396791949</v>
      </c>
      <c r="K42" t="s">
        <v>106</v>
      </c>
      <c r="N42" t="s">
        <v>153</v>
      </c>
      <c r="O42">
        <v>11.64</v>
      </c>
      <c r="P42">
        <v>6.7</v>
      </c>
      <c r="Q42">
        <v>0.57999999999999996</v>
      </c>
      <c r="R42">
        <v>88.82</v>
      </c>
      <c r="S42">
        <v>56.54</v>
      </c>
      <c r="U42" t="s">
        <v>23</v>
      </c>
      <c r="V42" t="s">
        <v>153</v>
      </c>
      <c r="W42">
        <v>6.85</v>
      </c>
      <c r="X42">
        <v>50.157499999999999</v>
      </c>
      <c r="Y42">
        <v>5.99</v>
      </c>
      <c r="Z42">
        <v>71.064999999999998</v>
      </c>
      <c r="AA42">
        <v>75.504999999999995</v>
      </c>
    </row>
    <row r="43" spans="1:27" x14ac:dyDescent="0.2">
      <c r="A43" t="s">
        <v>226</v>
      </c>
      <c r="D43" t="s">
        <v>267</v>
      </c>
      <c r="E43" s="2">
        <v>19.997318858265402</v>
      </c>
      <c r="F43" s="2">
        <v>18.750195475042851</v>
      </c>
      <c r="G43" s="2">
        <v>0.95562025843459353</v>
      </c>
      <c r="H43" s="2">
        <v>79.070126904489058</v>
      </c>
      <c r="I43" s="2">
        <v>66.232548571472847</v>
      </c>
      <c r="K43" t="s">
        <v>106</v>
      </c>
      <c r="N43" t="s">
        <v>154</v>
      </c>
      <c r="O43">
        <v>23.31</v>
      </c>
      <c r="P43">
        <v>14.96</v>
      </c>
      <c r="Q43">
        <v>0.64</v>
      </c>
      <c r="R43">
        <v>93.54</v>
      </c>
      <c r="S43">
        <v>58.53</v>
      </c>
      <c r="U43" t="s">
        <v>23</v>
      </c>
      <c r="V43" t="s">
        <v>154</v>
      </c>
      <c r="W43">
        <v>14.9</v>
      </c>
      <c r="X43">
        <v>19.899999999999999</v>
      </c>
      <c r="Y43">
        <v>1.35</v>
      </c>
      <c r="Z43">
        <v>90.199999999999989</v>
      </c>
      <c r="AA43">
        <v>65.8</v>
      </c>
    </row>
    <row r="44" spans="1:27" x14ac:dyDescent="0.2">
      <c r="A44" t="s">
        <v>226</v>
      </c>
      <c r="D44" t="s">
        <v>268</v>
      </c>
      <c r="E44" s="2">
        <v>3.8923599777834648</v>
      </c>
      <c r="F44" s="2">
        <v>20.685580495237801</v>
      </c>
      <c r="G44" s="2">
        <v>5.3802396800093302</v>
      </c>
      <c r="H44" s="2">
        <v>90.462801616745352</v>
      </c>
      <c r="I44" s="2">
        <v>63.000015152353896</v>
      </c>
      <c r="K44" t="s">
        <v>106</v>
      </c>
      <c r="N44" t="s">
        <v>158</v>
      </c>
      <c r="O44">
        <v>1.07</v>
      </c>
      <c r="P44">
        <v>15.58</v>
      </c>
      <c r="Q44">
        <v>15.52</v>
      </c>
      <c r="R44">
        <v>70.23</v>
      </c>
      <c r="S44">
        <v>58</v>
      </c>
      <c r="U44" t="s">
        <v>23</v>
      </c>
      <c r="V44" t="s">
        <v>158</v>
      </c>
      <c r="W44">
        <v>2.605</v>
      </c>
      <c r="X44">
        <v>27.509999999999998</v>
      </c>
      <c r="Y44">
        <v>10.585000000000001</v>
      </c>
      <c r="Z44">
        <v>63</v>
      </c>
      <c r="AA44">
        <v>74.5</v>
      </c>
    </row>
    <row r="45" spans="1:27" x14ac:dyDescent="0.2">
      <c r="A45" t="s">
        <v>226</v>
      </c>
      <c r="D45" t="s">
        <v>269</v>
      </c>
      <c r="E45" s="2" t="s">
        <v>274</v>
      </c>
      <c r="F45" s="2">
        <v>3.073753843277685</v>
      </c>
      <c r="G45" s="2" t="s">
        <v>274</v>
      </c>
      <c r="H45" s="2">
        <v>117.877250122546</v>
      </c>
      <c r="I45" s="2">
        <v>84.561445018730495</v>
      </c>
      <c r="K45" t="s">
        <v>106</v>
      </c>
      <c r="N45" t="s">
        <v>159</v>
      </c>
      <c r="O45">
        <v>1.26</v>
      </c>
      <c r="P45">
        <v>1.98</v>
      </c>
      <c r="Q45">
        <v>1.66</v>
      </c>
      <c r="R45">
        <v>109.15</v>
      </c>
      <c r="S45">
        <v>76.78</v>
      </c>
      <c r="U45" t="s">
        <v>23</v>
      </c>
      <c r="V45" t="s">
        <v>159</v>
      </c>
      <c r="W45">
        <v>0.12</v>
      </c>
      <c r="X45">
        <v>0.84000000000000008</v>
      </c>
      <c r="Y45">
        <v>7.0950000000000006</v>
      </c>
      <c r="Z45">
        <v>68.5</v>
      </c>
      <c r="AA45">
        <v>57</v>
      </c>
    </row>
    <row r="46" spans="1:27" x14ac:dyDescent="0.2">
      <c r="A46" t="s">
        <v>226</v>
      </c>
      <c r="D46" t="s">
        <v>270</v>
      </c>
      <c r="E46" s="2">
        <v>3.1885880661089701</v>
      </c>
      <c r="F46" s="2">
        <v>75.691307856169658</v>
      </c>
      <c r="G46" s="2">
        <v>9.4217311480088597</v>
      </c>
      <c r="H46" s="2">
        <v>11.282702030389149</v>
      </c>
      <c r="I46" s="2">
        <v>153.1389413807494</v>
      </c>
      <c r="K46" t="s">
        <v>106</v>
      </c>
      <c r="N46" t="s">
        <v>160</v>
      </c>
      <c r="O46" t="s">
        <v>274</v>
      </c>
      <c r="P46">
        <v>2.71</v>
      </c>
      <c r="Q46" t="s">
        <v>274</v>
      </c>
      <c r="R46" t="s">
        <v>274</v>
      </c>
      <c r="S46">
        <v>22.8</v>
      </c>
      <c r="U46" t="s">
        <v>23</v>
      </c>
      <c r="V46" t="s">
        <v>160</v>
      </c>
      <c r="W46">
        <v>10.185</v>
      </c>
      <c r="X46">
        <v>71.974999999999994</v>
      </c>
      <c r="Y46">
        <v>10.234999999999999</v>
      </c>
      <c r="Z46">
        <v>61.72</v>
      </c>
      <c r="AA46">
        <v>64.592500000000001</v>
      </c>
    </row>
    <row r="47" spans="1:27" x14ac:dyDescent="0.2">
      <c r="A47" t="s">
        <v>226</v>
      </c>
      <c r="D47" t="s">
        <v>271</v>
      </c>
      <c r="E47" s="2">
        <v>14.077720310684001</v>
      </c>
      <c r="F47" s="2">
        <v>13.443649451189149</v>
      </c>
      <c r="G47" s="2">
        <v>0.95760505186156952</v>
      </c>
      <c r="H47" s="2">
        <v>40.830237979546098</v>
      </c>
      <c r="I47" s="2">
        <v>33.93427014906225</v>
      </c>
      <c r="K47" t="s">
        <v>106</v>
      </c>
      <c r="N47" t="s">
        <v>161</v>
      </c>
      <c r="O47">
        <v>37.67</v>
      </c>
      <c r="P47">
        <v>6.43</v>
      </c>
      <c r="Q47">
        <v>0.54</v>
      </c>
      <c r="R47">
        <v>92.09</v>
      </c>
      <c r="S47">
        <v>22.48</v>
      </c>
      <c r="U47" t="s">
        <v>23</v>
      </c>
      <c r="V47" t="s">
        <v>161</v>
      </c>
      <c r="W47">
        <v>13.585000000000001</v>
      </c>
      <c r="X47">
        <v>23.15</v>
      </c>
      <c r="Y47">
        <v>1.7000000000000002</v>
      </c>
      <c r="Z47">
        <v>77.5</v>
      </c>
      <c r="AA47">
        <v>65</v>
      </c>
    </row>
    <row r="48" spans="1:27" x14ac:dyDescent="0.2">
      <c r="A48" t="s">
        <v>226</v>
      </c>
      <c r="D48" t="s">
        <v>272</v>
      </c>
      <c r="E48" s="2" t="s">
        <v>274</v>
      </c>
      <c r="F48" s="2">
        <v>63.241581437042051</v>
      </c>
      <c r="G48" s="2" t="s">
        <v>274</v>
      </c>
      <c r="H48" s="2">
        <v>8.4868383775494642</v>
      </c>
      <c r="I48" s="2">
        <v>114.87202388696865</v>
      </c>
      <c r="K48" t="s">
        <v>106</v>
      </c>
      <c r="N48" t="s">
        <v>162</v>
      </c>
      <c r="O48">
        <v>4.1100000000000003</v>
      </c>
      <c r="P48">
        <v>9.59</v>
      </c>
      <c r="Q48">
        <v>2.54</v>
      </c>
      <c r="R48">
        <v>24.73</v>
      </c>
      <c r="S48">
        <v>33.14</v>
      </c>
      <c r="U48" t="s">
        <v>23</v>
      </c>
      <c r="V48" t="s">
        <v>162</v>
      </c>
      <c r="W48">
        <v>7.4950000000000001</v>
      </c>
      <c r="X48">
        <v>22.98</v>
      </c>
      <c r="Y48">
        <v>3.9800000000000004</v>
      </c>
      <c r="Z48">
        <v>71.5</v>
      </c>
      <c r="AA48">
        <v>58.5</v>
      </c>
    </row>
    <row r="49" spans="1:27" x14ac:dyDescent="0.2">
      <c r="A49" t="s">
        <v>226</v>
      </c>
      <c r="D49" t="s">
        <v>273</v>
      </c>
      <c r="E49" s="2">
        <v>319.56769429576252</v>
      </c>
      <c r="F49" s="2">
        <v>100.42229696535</v>
      </c>
      <c r="G49" s="2">
        <v>0.32422781241552101</v>
      </c>
      <c r="H49" s="2">
        <v>570.24107212118849</v>
      </c>
      <c r="I49" s="2">
        <v>170.19962645922351</v>
      </c>
      <c r="K49" t="s">
        <v>106</v>
      </c>
      <c r="N49" t="s">
        <v>163</v>
      </c>
      <c r="O49">
        <v>105.6</v>
      </c>
      <c r="P49">
        <v>38.51</v>
      </c>
      <c r="Q49">
        <v>0.36</v>
      </c>
      <c r="R49">
        <v>209.65</v>
      </c>
      <c r="S49">
        <v>72.2</v>
      </c>
      <c r="U49" t="s">
        <v>23</v>
      </c>
      <c r="V49" t="s">
        <v>163</v>
      </c>
      <c r="W49">
        <v>233.73</v>
      </c>
      <c r="X49">
        <v>56.984999999999999</v>
      </c>
      <c r="Y49">
        <v>0.245</v>
      </c>
      <c r="Z49">
        <v>449</v>
      </c>
      <c r="AA49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28C1-9EAD-C943-B4E2-13B109E88DF5}">
  <dimension ref="A1:AG49"/>
  <sheetViews>
    <sheetView tabSelected="1" workbookViewId="0">
      <selection activeCell="Y17" sqref="Y17"/>
    </sheetView>
  </sheetViews>
  <sheetFormatPr baseColWidth="10" defaultColWidth="8.83203125" defaultRowHeight="15" x14ac:dyDescent="0.2"/>
  <cols>
    <col min="28" max="28" width="9.6640625" customWidth="1"/>
  </cols>
  <sheetData>
    <row r="1" spans="1:33" x14ac:dyDescent="0.2">
      <c r="A1" t="s">
        <v>0</v>
      </c>
      <c r="B1" t="s">
        <v>276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J1" t="s">
        <v>300</v>
      </c>
      <c r="K1" t="s">
        <v>284</v>
      </c>
      <c r="L1" t="s">
        <v>285</v>
      </c>
      <c r="M1" t="s">
        <v>286</v>
      </c>
      <c r="N1" t="s">
        <v>287</v>
      </c>
      <c r="O1" t="s">
        <v>288</v>
      </c>
      <c r="P1" t="s">
        <v>289</v>
      </c>
      <c r="Q1" t="s">
        <v>290</v>
      </c>
      <c r="R1" t="s">
        <v>291</v>
      </c>
      <c r="S1" t="s">
        <v>292</v>
      </c>
      <c r="T1" t="s">
        <v>301</v>
      </c>
      <c r="U1" t="s">
        <v>293</v>
      </c>
      <c r="V1" t="s">
        <v>294</v>
      </c>
      <c r="W1" t="s">
        <v>295</v>
      </c>
      <c r="X1" t="s">
        <v>296</v>
      </c>
      <c r="Y1" t="s">
        <v>297</v>
      </c>
      <c r="Z1" t="s">
        <v>298</v>
      </c>
      <c r="AA1" t="s">
        <v>299</v>
      </c>
      <c r="AB1" t="s">
        <v>302</v>
      </c>
      <c r="AC1" t="s">
        <v>303</v>
      </c>
      <c r="AD1" t="s">
        <v>304</v>
      </c>
      <c r="AE1" t="s">
        <v>305</v>
      </c>
      <c r="AF1" t="s">
        <v>306</v>
      </c>
      <c r="AG1" t="s">
        <v>307</v>
      </c>
    </row>
    <row r="2" spans="1:33" x14ac:dyDescent="0.2">
      <c r="A2" t="s">
        <v>226</v>
      </c>
      <c r="B2" t="s">
        <v>21</v>
      </c>
      <c r="C2" t="s">
        <v>107</v>
      </c>
      <c r="D2" t="s">
        <v>227</v>
      </c>
      <c r="E2">
        <v>19.762651052229199</v>
      </c>
      <c r="F2">
        <v>3.6613305720847098</v>
      </c>
      <c r="G2">
        <v>0.31914893617021201</v>
      </c>
      <c r="H2">
        <v>61.665819150019949</v>
      </c>
      <c r="I2">
        <v>9.8849064188852491</v>
      </c>
      <c r="K2" t="s">
        <v>106</v>
      </c>
      <c r="M2" t="s">
        <v>107</v>
      </c>
      <c r="O2">
        <v>11.37</v>
      </c>
      <c r="P2">
        <v>7.54</v>
      </c>
      <c r="Q2">
        <v>0.69</v>
      </c>
      <c r="R2">
        <v>43.51</v>
      </c>
      <c r="S2">
        <v>64.05</v>
      </c>
      <c r="U2" t="s">
        <v>23</v>
      </c>
      <c r="AB2" t="s">
        <v>308</v>
      </c>
      <c r="AC2" t="s">
        <v>308</v>
      </c>
      <c r="AD2" t="s">
        <v>275</v>
      </c>
      <c r="AE2" t="s">
        <v>275</v>
      </c>
      <c r="AF2" t="s">
        <v>308</v>
      </c>
      <c r="AG2" t="s">
        <v>308</v>
      </c>
    </row>
    <row r="3" spans="1:33" x14ac:dyDescent="0.2">
      <c r="A3" t="s">
        <v>226</v>
      </c>
      <c r="B3" t="s">
        <v>21</v>
      </c>
      <c r="C3" t="s">
        <v>108</v>
      </c>
      <c r="D3" t="s">
        <v>190</v>
      </c>
      <c r="E3">
        <v>0.10530634633366499</v>
      </c>
      <c r="F3">
        <v>5.0116578234570248</v>
      </c>
      <c r="G3">
        <v>61.7675022373408</v>
      </c>
      <c r="H3">
        <v>85.261773687089601</v>
      </c>
      <c r="I3">
        <v>63.944214328994747</v>
      </c>
      <c r="K3" t="s">
        <v>106</v>
      </c>
      <c r="M3" t="s">
        <v>108</v>
      </c>
      <c r="P3">
        <v>3.13</v>
      </c>
      <c r="R3">
        <v>72.260000000000005</v>
      </c>
      <c r="S3">
        <v>74.489999999999995</v>
      </c>
      <c r="U3" t="s">
        <v>23</v>
      </c>
      <c r="AB3" t="s">
        <v>275</v>
      </c>
      <c r="AC3" t="s">
        <v>275</v>
      </c>
      <c r="AD3" t="s">
        <v>275</v>
      </c>
      <c r="AE3" t="s">
        <v>308</v>
      </c>
      <c r="AF3" t="s">
        <v>275</v>
      </c>
      <c r="AG3" t="s">
        <v>275</v>
      </c>
    </row>
    <row r="4" spans="1:33" x14ac:dyDescent="0.2">
      <c r="A4" t="s">
        <v>226</v>
      </c>
      <c r="B4" t="s">
        <v>21</v>
      </c>
      <c r="C4" t="s">
        <v>228</v>
      </c>
      <c r="D4" t="s">
        <v>193</v>
      </c>
      <c r="E4">
        <v>5.9342602951062702</v>
      </c>
      <c r="F4">
        <v>48.784111216363137</v>
      </c>
      <c r="G4">
        <v>8.6455246658726796</v>
      </c>
      <c r="H4">
        <v>53.574812266999601</v>
      </c>
      <c r="I4">
        <v>84.929266518695144</v>
      </c>
      <c r="K4" t="s">
        <v>106</v>
      </c>
      <c r="M4" t="s">
        <v>109</v>
      </c>
      <c r="O4">
        <v>0.78</v>
      </c>
      <c r="P4">
        <v>11.62</v>
      </c>
      <c r="Q4">
        <v>14.5</v>
      </c>
      <c r="R4">
        <v>33.99</v>
      </c>
      <c r="S4">
        <v>33.11</v>
      </c>
      <c r="U4" t="s">
        <v>23</v>
      </c>
      <c r="AB4" t="s">
        <v>308</v>
      </c>
      <c r="AC4" t="s">
        <v>308</v>
      </c>
      <c r="AD4" t="s">
        <v>308</v>
      </c>
      <c r="AE4" t="s">
        <v>308</v>
      </c>
      <c r="AF4" t="s">
        <v>308</v>
      </c>
      <c r="AG4" t="s">
        <v>308</v>
      </c>
    </row>
    <row r="5" spans="1:33" x14ac:dyDescent="0.2">
      <c r="A5" t="s">
        <v>226</v>
      </c>
      <c r="D5" t="s">
        <v>229</v>
      </c>
      <c r="E5">
        <v>100.99874308873331</v>
      </c>
      <c r="F5">
        <v>0.58660978490200499</v>
      </c>
      <c r="G5">
        <v>0.14946670066991</v>
      </c>
      <c r="H5">
        <v>138.65107451221331</v>
      </c>
      <c r="I5">
        <v>33.269933657831153</v>
      </c>
      <c r="K5" t="s">
        <v>106</v>
      </c>
      <c r="N5" t="s">
        <v>110</v>
      </c>
      <c r="P5">
        <v>19.13</v>
      </c>
      <c r="S5">
        <v>530.58000000000004</v>
      </c>
      <c r="U5" t="s">
        <v>23</v>
      </c>
      <c r="V5" t="s">
        <v>110</v>
      </c>
      <c r="W5">
        <v>2.5112227207500002</v>
      </c>
      <c r="X5">
        <v>10.13834113985714</v>
      </c>
      <c r="Y5">
        <v>7.4264388729999986</v>
      </c>
      <c r="Z5">
        <v>59.760330025000002</v>
      </c>
      <c r="AA5">
        <v>41.755577717999998</v>
      </c>
      <c r="AB5" t="s">
        <v>308</v>
      </c>
      <c r="AC5" t="s">
        <v>308</v>
      </c>
      <c r="AD5" t="s">
        <v>308</v>
      </c>
      <c r="AE5" t="s">
        <v>308</v>
      </c>
      <c r="AF5" t="s">
        <v>308</v>
      </c>
      <c r="AG5" t="s">
        <v>308</v>
      </c>
    </row>
    <row r="6" spans="1:33" x14ac:dyDescent="0.2">
      <c r="A6" t="s">
        <v>226</v>
      </c>
      <c r="D6" t="s">
        <v>230</v>
      </c>
      <c r="E6">
        <v>6.2846362190360043</v>
      </c>
      <c r="F6">
        <v>11.21312861387295</v>
      </c>
      <c r="G6">
        <v>1.8379502578273199</v>
      </c>
      <c r="H6">
        <v>87.061447556165447</v>
      </c>
      <c r="I6">
        <v>59.530714915803799</v>
      </c>
      <c r="K6" t="s">
        <v>106</v>
      </c>
      <c r="N6" t="s">
        <v>112</v>
      </c>
      <c r="O6">
        <v>3.49</v>
      </c>
      <c r="P6">
        <v>4.87</v>
      </c>
      <c r="Q6">
        <v>1.4</v>
      </c>
      <c r="R6">
        <v>92.17</v>
      </c>
      <c r="S6">
        <v>52.38</v>
      </c>
      <c r="U6" t="s">
        <v>23</v>
      </c>
      <c r="V6" t="s">
        <v>112</v>
      </c>
      <c r="W6">
        <v>3.191666666666666</v>
      </c>
      <c r="X6">
        <v>26.465211676666669</v>
      </c>
      <c r="Y6">
        <v>10.498153258</v>
      </c>
      <c r="Z6">
        <v>81.228333333333339</v>
      </c>
      <c r="AA6">
        <v>61.550241047500002</v>
      </c>
      <c r="AB6" t="s">
        <v>275</v>
      </c>
      <c r="AC6" t="s">
        <v>308</v>
      </c>
      <c r="AD6" t="s">
        <v>275</v>
      </c>
      <c r="AE6" t="s">
        <v>308</v>
      </c>
      <c r="AF6" t="s">
        <v>275</v>
      </c>
      <c r="AG6" t="s">
        <v>308</v>
      </c>
    </row>
    <row r="7" spans="1:33" x14ac:dyDescent="0.2">
      <c r="A7" t="s">
        <v>226</v>
      </c>
      <c r="D7" t="s">
        <v>231</v>
      </c>
      <c r="F7">
        <v>0.37199974070387548</v>
      </c>
      <c r="H7">
        <v>73.564232636415696</v>
      </c>
      <c r="I7">
        <v>77.815314339861501</v>
      </c>
      <c r="K7" t="s">
        <v>106</v>
      </c>
      <c r="N7" t="s">
        <v>114</v>
      </c>
      <c r="U7" t="s">
        <v>23</v>
      </c>
      <c r="V7" t="s">
        <v>114</v>
      </c>
      <c r="W7">
        <v>0.36959853799999998</v>
      </c>
      <c r="X7">
        <v>6.6052154025000007</v>
      </c>
      <c r="Y7">
        <v>18.182061595</v>
      </c>
      <c r="Z7">
        <v>91.680950929999995</v>
      </c>
      <c r="AB7" t="s">
        <v>308</v>
      </c>
      <c r="AC7" t="s">
        <v>308</v>
      </c>
      <c r="AD7" t="s">
        <v>275</v>
      </c>
      <c r="AE7" t="s">
        <v>308</v>
      </c>
      <c r="AF7" t="s">
        <v>275</v>
      </c>
      <c r="AG7" t="s">
        <v>308</v>
      </c>
    </row>
    <row r="8" spans="1:33" x14ac:dyDescent="0.2">
      <c r="A8" t="s">
        <v>226</v>
      </c>
      <c r="D8" t="s">
        <v>232</v>
      </c>
      <c r="F8">
        <v>4.1253449586856004</v>
      </c>
      <c r="H8">
        <v>96.763000253204297</v>
      </c>
      <c r="I8">
        <v>81.321744785444508</v>
      </c>
      <c r="K8" t="s">
        <v>106</v>
      </c>
      <c r="N8" t="s">
        <v>115</v>
      </c>
      <c r="O8">
        <v>8.24</v>
      </c>
      <c r="P8">
        <v>2.63</v>
      </c>
      <c r="Q8">
        <v>0.32</v>
      </c>
      <c r="R8">
        <v>87.47</v>
      </c>
      <c r="S8">
        <v>77.31</v>
      </c>
      <c r="U8" t="s">
        <v>23</v>
      </c>
      <c r="V8" t="s">
        <v>115</v>
      </c>
      <c r="W8">
        <v>0.78333333333333333</v>
      </c>
      <c r="X8">
        <v>11.226124906000001</v>
      </c>
      <c r="Y8">
        <v>55.215969603999987</v>
      </c>
      <c r="Z8">
        <v>82.694999999999993</v>
      </c>
      <c r="AA8">
        <v>76.829753355714274</v>
      </c>
      <c r="AB8" t="s">
        <v>308</v>
      </c>
      <c r="AC8" t="s">
        <v>308</v>
      </c>
      <c r="AD8" t="s">
        <v>275</v>
      </c>
      <c r="AE8" t="s">
        <v>275</v>
      </c>
      <c r="AF8" t="s">
        <v>308</v>
      </c>
      <c r="AG8" t="s">
        <v>308</v>
      </c>
    </row>
    <row r="9" spans="1:33" x14ac:dyDescent="0.2">
      <c r="A9" t="s">
        <v>226</v>
      </c>
      <c r="D9" t="s">
        <v>233</v>
      </c>
      <c r="F9">
        <v>3.3028696135755449</v>
      </c>
      <c r="H9">
        <v>84.112843252207099</v>
      </c>
      <c r="I9">
        <v>60.189007035924497</v>
      </c>
      <c r="K9" t="s">
        <v>106</v>
      </c>
      <c r="N9" t="s">
        <v>116</v>
      </c>
      <c r="U9" t="s">
        <v>23</v>
      </c>
      <c r="V9" t="s">
        <v>116</v>
      </c>
      <c r="X9">
        <v>56.03</v>
      </c>
      <c r="AA9">
        <v>58.174999999999997</v>
      </c>
      <c r="AB9" t="s">
        <v>308</v>
      </c>
      <c r="AC9" t="s">
        <v>308</v>
      </c>
      <c r="AD9" t="s">
        <v>275</v>
      </c>
      <c r="AE9" t="s">
        <v>275</v>
      </c>
      <c r="AF9" t="s">
        <v>308</v>
      </c>
      <c r="AG9" t="s">
        <v>308</v>
      </c>
    </row>
    <row r="10" spans="1:33" x14ac:dyDescent="0.2">
      <c r="A10" t="s">
        <v>226</v>
      </c>
      <c r="D10" t="s">
        <v>234</v>
      </c>
      <c r="E10">
        <v>1.630378321729161</v>
      </c>
      <c r="F10">
        <v>9.9538488486569001</v>
      </c>
      <c r="G10">
        <v>7.6526213292134244</v>
      </c>
      <c r="H10">
        <v>68.438141182698843</v>
      </c>
      <c r="I10">
        <v>61.333058309357448</v>
      </c>
      <c r="K10" t="s">
        <v>106</v>
      </c>
      <c r="N10" t="s">
        <v>117</v>
      </c>
      <c r="O10">
        <v>5.28</v>
      </c>
      <c r="P10">
        <v>8.56</v>
      </c>
      <c r="Q10">
        <v>1.84</v>
      </c>
      <c r="R10">
        <v>55.52</v>
      </c>
      <c r="S10">
        <v>59.02</v>
      </c>
      <c r="U10" t="s">
        <v>23</v>
      </c>
      <c r="V10" t="s">
        <v>117</v>
      </c>
      <c r="W10">
        <v>0.54129414600000003</v>
      </c>
      <c r="X10">
        <v>12.338292969999999</v>
      </c>
      <c r="Y10">
        <v>44.144574274999997</v>
      </c>
      <c r="Z10">
        <v>100.5218265975</v>
      </c>
      <c r="AA10">
        <v>74.535198770000008</v>
      </c>
      <c r="AB10" t="s">
        <v>275</v>
      </c>
      <c r="AC10" t="s">
        <v>275</v>
      </c>
      <c r="AD10" t="s">
        <v>275</v>
      </c>
      <c r="AE10" t="s">
        <v>275</v>
      </c>
      <c r="AF10" t="s">
        <v>275</v>
      </c>
      <c r="AG10" t="s">
        <v>275</v>
      </c>
    </row>
    <row r="11" spans="1:33" x14ac:dyDescent="0.2">
      <c r="A11" t="s">
        <v>226</v>
      </c>
      <c r="D11" t="s">
        <v>235</v>
      </c>
      <c r="F11">
        <v>5.1733142979385498</v>
      </c>
      <c r="H11">
        <v>148.1515999807375</v>
      </c>
      <c r="I11">
        <v>31.63368683633745</v>
      </c>
      <c r="K11" t="s">
        <v>106</v>
      </c>
      <c r="N11" t="s">
        <v>118</v>
      </c>
      <c r="P11">
        <v>8.08</v>
      </c>
      <c r="S11">
        <v>211.39</v>
      </c>
      <c r="U11" t="s">
        <v>23</v>
      </c>
      <c r="V11" t="s">
        <v>118</v>
      </c>
      <c r="X11">
        <v>4.3150000000000004</v>
      </c>
      <c r="AA11">
        <v>30.5</v>
      </c>
      <c r="AB11" t="s">
        <v>275</v>
      </c>
      <c r="AC11" t="s">
        <v>308</v>
      </c>
      <c r="AD11" t="s">
        <v>275</v>
      </c>
      <c r="AE11" t="s">
        <v>308</v>
      </c>
      <c r="AF11" t="s">
        <v>275</v>
      </c>
      <c r="AG11" t="s">
        <v>275</v>
      </c>
    </row>
    <row r="12" spans="1:33" x14ac:dyDescent="0.2">
      <c r="A12" t="s">
        <v>226</v>
      </c>
      <c r="D12" t="s">
        <v>236</v>
      </c>
      <c r="F12">
        <v>0.97044380589867996</v>
      </c>
      <c r="H12">
        <v>73.545374851635643</v>
      </c>
      <c r="I12">
        <v>61.917794515803003</v>
      </c>
      <c r="K12" t="s">
        <v>106</v>
      </c>
      <c r="N12" t="s">
        <v>119</v>
      </c>
      <c r="U12" t="s">
        <v>23</v>
      </c>
      <c r="V12" t="s">
        <v>119</v>
      </c>
      <c r="W12">
        <v>221.51499999999999</v>
      </c>
      <c r="Z12">
        <v>417.5</v>
      </c>
      <c r="AB12" t="s">
        <v>275</v>
      </c>
      <c r="AC12" t="s">
        <v>275</v>
      </c>
      <c r="AD12" t="s">
        <v>275</v>
      </c>
      <c r="AE12" t="s">
        <v>308</v>
      </c>
      <c r="AF12" t="s">
        <v>275</v>
      </c>
      <c r="AG12" t="s">
        <v>275</v>
      </c>
    </row>
    <row r="13" spans="1:33" x14ac:dyDescent="0.2">
      <c r="A13" t="s">
        <v>226</v>
      </c>
      <c r="D13" t="s">
        <v>237</v>
      </c>
      <c r="E13">
        <v>12.71960854974585</v>
      </c>
      <c r="F13">
        <v>18.219555985182151</v>
      </c>
      <c r="G13">
        <v>1.43162097027002</v>
      </c>
      <c r="H13">
        <v>66.392662507529792</v>
      </c>
      <c r="I13">
        <v>56.783901964894198</v>
      </c>
      <c r="K13" t="s">
        <v>106</v>
      </c>
      <c r="N13" t="s">
        <v>120</v>
      </c>
      <c r="O13">
        <v>13.19</v>
      </c>
      <c r="P13">
        <v>10.78</v>
      </c>
      <c r="Q13">
        <v>0.92</v>
      </c>
      <c r="R13">
        <v>94.32</v>
      </c>
      <c r="S13">
        <v>61.39</v>
      </c>
      <c r="U13" t="s">
        <v>23</v>
      </c>
      <c r="V13" t="s">
        <v>120</v>
      </c>
      <c r="W13">
        <v>8.5304879170000003</v>
      </c>
      <c r="X13">
        <v>50.46587084883334</v>
      </c>
      <c r="Y13">
        <v>5.0538583553333334</v>
      </c>
      <c r="Z13">
        <v>72.485937961666664</v>
      </c>
      <c r="AA13">
        <v>60.67518295</v>
      </c>
      <c r="AB13" t="s">
        <v>308</v>
      </c>
      <c r="AC13" t="s">
        <v>308</v>
      </c>
      <c r="AD13" t="s">
        <v>275</v>
      </c>
      <c r="AE13" t="s">
        <v>308</v>
      </c>
      <c r="AF13" t="s">
        <v>308</v>
      </c>
      <c r="AG13" t="s">
        <v>308</v>
      </c>
    </row>
    <row r="14" spans="1:33" x14ac:dyDescent="0.2">
      <c r="A14" t="s">
        <v>226</v>
      </c>
      <c r="D14" t="s">
        <v>238</v>
      </c>
      <c r="E14">
        <v>2.6873866238751751</v>
      </c>
      <c r="F14">
        <v>23.391592766080699</v>
      </c>
      <c r="G14">
        <v>8.7120610777874496</v>
      </c>
      <c r="H14">
        <v>101.3888932301348</v>
      </c>
      <c r="I14">
        <v>69.105215303046606</v>
      </c>
      <c r="K14" t="s">
        <v>106</v>
      </c>
      <c r="N14" t="s">
        <v>122</v>
      </c>
      <c r="P14">
        <v>22.53</v>
      </c>
      <c r="S14">
        <v>49.9</v>
      </c>
      <c r="U14" t="s">
        <v>23</v>
      </c>
      <c r="V14" t="s">
        <v>122</v>
      </c>
      <c r="W14">
        <v>1.1599999999999999</v>
      </c>
      <c r="X14">
        <v>32.5</v>
      </c>
      <c r="Y14">
        <v>27.87</v>
      </c>
      <c r="Z14">
        <v>77</v>
      </c>
      <c r="AA14">
        <v>72.5</v>
      </c>
      <c r="AB14" t="s">
        <v>308</v>
      </c>
      <c r="AC14" t="s">
        <v>308</v>
      </c>
      <c r="AD14" t="s">
        <v>308</v>
      </c>
      <c r="AE14" t="s">
        <v>308</v>
      </c>
      <c r="AF14" t="s">
        <v>308</v>
      </c>
      <c r="AG14" t="s">
        <v>308</v>
      </c>
    </row>
    <row r="15" spans="1:33" x14ac:dyDescent="0.2">
      <c r="A15" t="s">
        <v>226</v>
      </c>
      <c r="D15" t="s">
        <v>239</v>
      </c>
      <c r="E15">
        <v>29.532237567494999</v>
      </c>
      <c r="F15">
        <v>6.1272243158089204</v>
      </c>
      <c r="G15">
        <v>0.20766762939816499</v>
      </c>
      <c r="H15">
        <v>82.797649881672356</v>
      </c>
      <c r="I15">
        <v>50.444086199849103</v>
      </c>
      <c r="K15" t="s">
        <v>106</v>
      </c>
      <c r="N15" t="s">
        <v>123</v>
      </c>
      <c r="O15">
        <v>4.95</v>
      </c>
      <c r="P15">
        <v>4.3899999999999997</v>
      </c>
      <c r="Q15">
        <v>1.08</v>
      </c>
      <c r="R15">
        <v>79.66</v>
      </c>
      <c r="S15">
        <v>51.33</v>
      </c>
      <c r="U15" t="s">
        <v>23</v>
      </c>
      <c r="V15" t="s">
        <v>123</v>
      </c>
      <c r="W15">
        <v>11.295</v>
      </c>
      <c r="X15">
        <v>6.1400000000000006</v>
      </c>
      <c r="Y15">
        <v>0.54</v>
      </c>
      <c r="Z15">
        <v>78</v>
      </c>
      <c r="AA15">
        <v>47.5</v>
      </c>
      <c r="AB15" t="s">
        <v>308</v>
      </c>
      <c r="AC15" t="s">
        <v>308</v>
      </c>
      <c r="AD15" t="s">
        <v>308</v>
      </c>
      <c r="AE15" t="s">
        <v>308</v>
      </c>
      <c r="AF15" t="s">
        <v>308</v>
      </c>
      <c r="AG15" t="s">
        <v>308</v>
      </c>
    </row>
    <row r="16" spans="1:33" x14ac:dyDescent="0.2">
      <c r="A16" t="s">
        <v>226</v>
      </c>
      <c r="D16" t="s">
        <v>240</v>
      </c>
      <c r="F16">
        <v>1.094420471357765</v>
      </c>
      <c r="H16">
        <v>71.432962761886557</v>
      </c>
      <c r="I16">
        <v>57.329136956579497</v>
      </c>
      <c r="K16" t="s">
        <v>106</v>
      </c>
      <c r="N16" t="s">
        <v>124</v>
      </c>
      <c r="P16">
        <v>2.31</v>
      </c>
      <c r="S16">
        <v>166.96</v>
      </c>
      <c r="U16" t="s">
        <v>23</v>
      </c>
      <c r="V16" t="s">
        <v>124</v>
      </c>
      <c r="X16">
        <v>1.7050000000000001</v>
      </c>
      <c r="AA16">
        <v>73.5</v>
      </c>
      <c r="AB16" t="s">
        <v>308</v>
      </c>
      <c r="AC16" t="s">
        <v>308</v>
      </c>
      <c r="AD16" t="s">
        <v>275</v>
      </c>
      <c r="AE16" t="s">
        <v>308</v>
      </c>
      <c r="AF16" t="s">
        <v>308</v>
      </c>
      <c r="AG16" t="s">
        <v>308</v>
      </c>
    </row>
    <row r="17" spans="1:33" x14ac:dyDescent="0.2">
      <c r="A17" t="s">
        <v>226</v>
      </c>
      <c r="D17" t="s">
        <v>241</v>
      </c>
      <c r="E17">
        <v>12.34770295109973</v>
      </c>
      <c r="F17">
        <v>0.88454430678482088</v>
      </c>
      <c r="G17">
        <v>7.8845156925403101E-2</v>
      </c>
      <c r="H17">
        <v>53.116385564758851</v>
      </c>
      <c r="I17">
        <v>39.699574322298801</v>
      </c>
      <c r="K17" t="s">
        <v>106</v>
      </c>
      <c r="N17" t="s">
        <v>125</v>
      </c>
      <c r="P17">
        <v>0.22</v>
      </c>
      <c r="S17">
        <v>53.15</v>
      </c>
      <c r="U17" t="s">
        <v>23</v>
      </c>
      <c r="V17" t="s">
        <v>125</v>
      </c>
      <c r="W17">
        <v>0.40263646500000011</v>
      </c>
      <c r="X17">
        <v>1.2738040477499999</v>
      </c>
      <c r="Y17">
        <v>4.0276240227500004</v>
      </c>
      <c r="Z17">
        <v>39.421226087500003</v>
      </c>
      <c r="AA17">
        <v>43</v>
      </c>
      <c r="AB17" t="s">
        <v>275</v>
      </c>
      <c r="AC17" t="s">
        <v>275</v>
      </c>
      <c r="AD17" t="s">
        <v>275</v>
      </c>
      <c r="AE17" t="s">
        <v>275</v>
      </c>
      <c r="AF17" t="s">
        <v>275</v>
      </c>
      <c r="AG17" t="s">
        <v>275</v>
      </c>
    </row>
    <row r="18" spans="1:33" x14ac:dyDescent="0.2">
      <c r="A18" t="s">
        <v>226</v>
      </c>
      <c r="D18" t="s">
        <v>242</v>
      </c>
      <c r="E18">
        <v>3.47019416098219</v>
      </c>
      <c r="F18">
        <v>0.22691684826396299</v>
      </c>
      <c r="G18">
        <v>6.6831538279411754E-2</v>
      </c>
      <c r="H18">
        <v>35.974825326524751</v>
      </c>
      <c r="I18">
        <v>48.40473739117445</v>
      </c>
      <c r="K18" t="s">
        <v>106</v>
      </c>
      <c r="N18" t="s">
        <v>126</v>
      </c>
      <c r="U18" t="s">
        <v>23</v>
      </c>
      <c r="V18" t="s">
        <v>126</v>
      </c>
      <c r="W18">
        <v>0.77500000000000002</v>
      </c>
      <c r="X18">
        <v>0.81155801939999994</v>
      </c>
      <c r="Y18">
        <v>20.864999999999998</v>
      </c>
      <c r="Z18">
        <v>27.38</v>
      </c>
      <c r="AA18">
        <v>47.37312630571428</v>
      </c>
      <c r="AB18" t="s">
        <v>275</v>
      </c>
      <c r="AC18" t="s">
        <v>275</v>
      </c>
      <c r="AD18" t="s">
        <v>275</v>
      </c>
      <c r="AE18" t="s">
        <v>275</v>
      </c>
      <c r="AF18" t="s">
        <v>275</v>
      </c>
      <c r="AG18" t="s">
        <v>308</v>
      </c>
    </row>
    <row r="19" spans="1:33" x14ac:dyDescent="0.2">
      <c r="A19" t="s">
        <v>226</v>
      </c>
      <c r="D19" t="s">
        <v>243</v>
      </c>
      <c r="E19">
        <v>77.096491836952907</v>
      </c>
      <c r="F19">
        <v>20.274547648090898</v>
      </c>
      <c r="G19">
        <v>0.44580655320327051</v>
      </c>
      <c r="H19">
        <v>166.37835706420779</v>
      </c>
      <c r="I19">
        <v>64.046328693057603</v>
      </c>
      <c r="K19" t="s">
        <v>106</v>
      </c>
      <c r="N19" t="s">
        <v>128</v>
      </c>
      <c r="O19">
        <v>4.47</v>
      </c>
      <c r="P19">
        <v>6.6</v>
      </c>
      <c r="Q19">
        <v>4.21</v>
      </c>
      <c r="R19">
        <v>32.619999999999997</v>
      </c>
      <c r="S19">
        <v>25.81</v>
      </c>
      <c r="U19" t="s">
        <v>23</v>
      </c>
      <c r="V19" t="s">
        <v>128</v>
      </c>
      <c r="W19">
        <v>2.0049999999999999</v>
      </c>
      <c r="X19">
        <v>5.2200000000000006</v>
      </c>
      <c r="Y19">
        <v>2.6150000000000002</v>
      </c>
      <c r="Z19">
        <v>62.5</v>
      </c>
      <c r="AA19">
        <v>54</v>
      </c>
      <c r="AB19" t="s">
        <v>275</v>
      </c>
      <c r="AC19" t="s">
        <v>308</v>
      </c>
      <c r="AD19" t="s">
        <v>275</v>
      </c>
      <c r="AE19" t="s">
        <v>308</v>
      </c>
      <c r="AF19" t="s">
        <v>275</v>
      </c>
      <c r="AG19" t="s">
        <v>308</v>
      </c>
    </row>
    <row r="20" spans="1:33" x14ac:dyDescent="0.2">
      <c r="A20" t="s">
        <v>226</v>
      </c>
      <c r="D20" t="s">
        <v>244</v>
      </c>
      <c r="E20">
        <v>21.469293429998789</v>
      </c>
      <c r="F20">
        <v>42.278128945916997</v>
      </c>
      <c r="G20">
        <v>4.8738895773729816</v>
      </c>
      <c r="H20">
        <v>51.45146860322965</v>
      </c>
      <c r="I20">
        <v>125.2375815894911</v>
      </c>
      <c r="K20" t="s">
        <v>106</v>
      </c>
      <c r="N20" t="s">
        <v>129</v>
      </c>
      <c r="O20">
        <v>13.99</v>
      </c>
      <c r="P20">
        <v>4.46</v>
      </c>
      <c r="Q20">
        <v>0.32</v>
      </c>
      <c r="R20">
        <v>48.07</v>
      </c>
      <c r="S20">
        <v>30.82</v>
      </c>
      <c r="U20" t="s">
        <v>23</v>
      </c>
      <c r="V20" t="s">
        <v>129</v>
      </c>
      <c r="X20">
        <v>10.625</v>
      </c>
      <c r="AA20">
        <v>66.5</v>
      </c>
      <c r="AB20" t="s">
        <v>308</v>
      </c>
      <c r="AC20" t="s">
        <v>308</v>
      </c>
      <c r="AD20" t="s">
        <v>275</v>
      </c>
      <c r="AE20" t="s">
        <v>308</v>
      </c>
      <c r="AF20" t="s">
        <v>308</v>
      </c>
      <c r="AG20" t="s">
        <v>308</v>
      </c>
    </row>
    <row r="21" spans="1:33" x14ac:dyDescent="0.2">
      <c r="A21" t="s">
        <v>226</v>
      </c>
      <c r="D21" t="s">
        <v>245</v>
      </c>
      <c r="E21">
        <v>2.5388205490885101</v>
      </c>
      <c r="F21">
        <v>4.9887275729242448</v>
      </c>
      <c r="G21">
        <v>2.0117310490026949</v>
      </c>
      <c r="H21">
        <v>56.663541519924912</v>
      </c>
      <c r="I21">
        <v>62.669738087551998</v>
      </c>
      <c r="K21" t="s">
        <v>106</v>
      </c>
      <c r="N21" t="s">
        <v>130</v>
      </c>
      <c r="O21">
        <v>3.42</v>
      </c>
      <c r="P21">
        <v>2.2200000000000002</v>
      </c>
      <c r="Q21">
        <v>0.66</v>
      </c>
      <c r="R21">
        <v>64.349999999999994</v>
      </c>
      <c r="S21">
        <v>55.05</v>
      </c>
      <c r="U21" t="s">
        <v>23</v>
      </c>
      <c r="V21" t="s">
        <v>130</v>
      </c>
      <c r="W21">
        <v>1.93</v>
      </c>
      <c r="X21">
        <v>6.5299999999999994</v>
      </c>
      <c r="Y21">
        <v>3.3849999999999998</v>
      </c>
      <c r="Z21">
        <v>64</v>
      </c>
      <c r="AA21">
        <v>63.5</v>
      </c>
      <c r="AB21" t="s">
        <v>308</v>
      </c>
      <c r="AC21" t="s">
        <v>308</v>
      </c>
      <c r="AD21" t="s">
        <v>308</v>
      </c>
      <c r="AE21" t="s">
        <v>308</v>
      </c>
      <c r="AF21" t="s">
        <v>308</v>
      </c>
      <c r="AG21" t="s">
        <v>308</v>
      </c>
    </row>
    <row r="22" spans="1:33" x14ac:dyDescent="0.2">
      <c r="A22" t="s">
        <v>226</v>
      </c>
      <c r="D22" t="s">
        <v>246</v>
      </c>
      <c r="E22">
        <v>1.023885743022533</v>
      </c>
      <c r="F22">
        <v>17.064497619465548</v>
      </c>
      <c r="G22">
        <v>16.669983559176298</v>
      </c>
      <c r="H22">
        <v>85.10133832200151</v>
      </c>
      <c r="I22">
        <v>73.543513329144602</v>
      </c>
      <c r="K22" t="s">
        <v>106</v>
      </c>
      <c r="N22" t="s">
        <v>131</v>
      </c>
      <c r="O22">
        <v>0.4</v>
      </c>
      <c r="P22">
        <v>12.39</v>
      </c>
      <c r="Q22">
        <v>31.86</v>
      </c>
      <c r="R22">
        <v>87.58</v>
      </c>
      <c r="S22">
        <v>78.989999999999995</v>
      </c>
      <c r="U22" t="s">
        <v>23</v>
      </c>
      <c r="V22" t="s">
        <v>131</v>
      </c>
      <c r="W22">
        <v>0.57000000000000006</v>
      </c>
      <c r="X22">
        <v>22.52</v>
      </c>
      <c r="Y22">
        <v>40.085000000000001</v>
      </c>
      <c r="Z22">
        <v>73.5</v>
      </c>
      <c r="AA22">
        <v>75.5</v>
      </c>
      <c r="AB22" t="s">
        <v>308</v>
      </c>
      <c r="AC22" t="s">
        <v>308</v>
      </c>
      <c r="AD22" t="s">
        <v>275</v>
      </c>
      <c r="AE22" t="s">
        <v>275</v>
      </c>
      <c r="AF22" t="s">
        <v>308</v>
      </c>
      <c r="AG22" t="s">
        <v>308</v>
      </c>
    </row>
    <row r="23" spans="1:33" x14ac:dyDescent="0.2">
      <c r="A23" t="s">
        <v>226</v>
      </c>
      <c r="D23" t="s">
        <v>247</v>
      </c>
      <c r="E23">
        <v>0.970813994878166</v>
      </c>
      <c r="F23">
        <v>5.2241589486600901</v>
      </c>
      <c r="G23">
        <v>5.2322806931036503</v>
      </c>
      <c r="H23">
        <v>63.039162606043803</v>
      </c>
      <c r="I23">
        <v>60.718173078128501</v>
      </c>
      <c r="K23" t="s">
        <v>106</v>
      </c>
      <c r="N23" t="s">
        <v>132</v>
      </c>
      <c r="O23">
        <v>11.31</v>
      </c>
      <c r="P23">
        <v>3.61</v>
      </c>
      <c r="Q23">
        <v>0.32</v>
      </c>
      <c r="R23">
        <v>77.27</v>
      </c>
      <c r="S23">
        <v>63.32</v>
      </c>
      <c r="U23" t="s">
        <v>23</v>
      </c>
      <c r="V23" t="s">
        <v>132</v>
      </c>
      <c r="W23">
        <v>1.1499999999999999</v>
      </c>
      <c r="X23">
        <v>8.43</v>
      </c>
      <c r="Y23">
        <v>7.3599999999999994</v>
      </c>
      <c r="Z23">
        <v>69</v>
      </c>
      <c r="AA23">
        <v>69.5</v>
      </c>
      <c r="AB23" t="s">
        <v>308</v>
      </c>
      <c r="AC23" t="s">
        <v>308</v>
      </c>
      <c r="AD23" t="s">
        <v>275</v>
      </c>
      <c r="AE23" t="s">
        <v>275</v>
      </c>
      <c r="AF23" t="s">
        <v>308</v>
      </c>
      <c r="AG23" t="s">
        <v>308</v>
      </c>
    </row>
    <row r="24" spans="1:33" x14ac:dyDescent="0.2">
      <c r="A24" t="s">
        <v>226</v>
      </c>
      <c r="D24" t="s">
        <v>248</v>
      </c>
      <c r="E24">
        <v>1.3175909469365099</v>
      </c>
      <c r="F24">
        <v>2.472621906755355</v>
      </c>
      <c r="G24">
        <v>1.9090627148710151</v>
      </c>
      <c r="H24">
        <v>93.371371779862358</v>
      </c>
      <c r="I24">
        <v>60.476282365490313</v>
      </c>
      <c r="K24" t="s">
        <v>106</v>
      </c>
      <c r="N24" t="s">
        <v>133</v>
      </c>
      <c r="P24">
        <v>3.04</v>
      </c>
      <c r="S24">
        <v>65.3</v>
      </c>
      <c r="U24" t="s">
        <v>23</v>
      </c>
      <c r="V24" t="s">
        <v>133</v>
      </c>
      <c r="W24">
        <v>1.4350000000000001</v>
      </c>
      <c r="X24">
        <v>3.4849999999999999</v>
      </c>
      <c r="Y24">
        <v>2.415</v>
      </c>
      <c r="Z24">
        <v>75.5</v>
      </c>
      <c r="AA24">
        <v>51.5</v>
      </c>
      <c r="AB24" t="s">
        <v>308</v>
      </c>
      <c r="AC24" t="s">
        <v>308</v>
      </c>
      <c r="AD24" t="s">
        <v>275</v>
      </c>
      <c r="AE24" t="s">
        <v>308</v>
      </c>
      <c r="AF24" t="s">
        <v>308</v>
      </c>
      <c r="AG24" t="s">
        <v>308</v>
      </c>
    </row>
    <row r="25" spans="1:33" x14ac:dyDescent="0.2">
      <c r="A25" t="s">
        <v>226</v>
      </c>
      <c r="D25" t="s">
        <v>249</v>
      </c>
      <c r="H25">
        <v>0</v>
      </c>
      <c r="I25">
        <v>37.469510269902301</v>
      </c>
      <c r="K25" t="s">
        <v>106</v>
      </c>
      <c r="N25" t="s">
        <v>134</v>
      </c>
      <c r="P25">
        <v>0.48</v>
      </c>
      <c r="S25">
        <v>40.5</v>
      </c>
      <c r="U25" t="s">
        <v>23</v>
      </c>
      <c r="AB25" t="s">
        <v>308</v>
      </c>
      <c r="AC25" t="s">
        <v>308</v>
      </c>
      <c r="AD25" t="s">
        <v>308</v>
      </c>
      <c r="AE25" t="s">
        <v>308</v>
      </c>
      <c r="AF25" t="s">
        <v>308</v>
      </c>
      <c r="AG25" t="s">
        <v>308</v>
      </c>
    </row>
    <row r="26" spans="1:33" x14ac:dyDescent="0.2">
      <c r="A26" t="s">
        <v>226</v>
      </c>
      <c r="D26" t="s">
        <v>250</v>
      </c>
      <c r="E26">
        <v>1.4977051991317301</v>
      </c>
      <c r="F26">
        <v>3.5089066310395101</v>
      </c>
      <c r="G26">
        <v>2.5268282692471802</v>
      </c>
      <c r="H26">
        <v>31.064838737164049</v>
      </c>
      <c r="I26">
        <v>46.854847045070798</v>
      </c>
      <c r="K26" t="s">
        <v>106</v>
      </c>
      <c r="N26" t="s">
        <v>135</v>
      </c>
      <c r="O26">
        <v>10.220000000000001</v>
      </c>
      <c r="P26">
        <v>7.03</v>
      </c>
      <c r="Q26">
        <v>0.69</v>
      </c>
      <c r="R26">
        <v>47.1</v>
      </c>
      <c r="S26">
        <v>57.7</v>
      </c>
      <c r="U26" t="s">
        <v>23</v>
      </c>
      <c r="V26" t="s">
        <v>135</v>
      </c>
      <c r="W26">
        <v>5.2392805874999997</v>
      </c>
      <c r="X26">
        <v>29.199502880000001</v>
      </c>
      <c r="Y26">
        <v>6.0501922836666671</v>
      </c>
      <c r="Z26">
        <v>60.468674983333329</v>
      </c>
      <c r="AA26">
        <v>69.480406254999991</v>
      </c>
      <c r="AB26" t="s">
        <v>308</v>
      </c>
      <c r="AC26" t="s">
        <v>308</v>
      </c>
      <c r="AD26" t="s">
        <v>275</v>
      </c>
      <c r="AE26" t="s">
        <v>275</v>
      </c>
      <c r="AF26" t="s">
        <v>308</v>
      </c>
      <c r="AG26" t="s">
        <v>308</v>
      </c>
    </row>
    <row r="27" spans="1:33" x14ac:dyDescent="0.2">
      <c r="A27" t="s">
        <v>226</v>
      </c>
      <c r="D27" t="s">
        <v>251</v>
      </c>
      <c r="E27">
        <v>5.5024042325937206</v>
      </c>
      <c r="F27">
        <v>28.259551576522551</v>
      </c>
      <c r="G27">
        <v>5.1483627920012296</v>
      </c>
      <c r="H27">
        <v>89.783587058725544</v>
      </c>
      <c r="I27">
        <v>68.248384721759891</v>
      </c>
      <c r="K27" t="s">
        <v>106</v>
      </c>
      <c r="N27" t="s">
        <v>137</v>
      </c>
      <c r="O27">
        <v>3.15</v>
      </c>
      <c r="P27">
        <v>23.56</v>
      </c>
      <c r="Q27">
        <v>8.7100000000000009</v>
      </c>
      <c r="R27">
        <v>107.4</v>
      </c>
      <c r="S27">
        <v>72.11</v>
      </c>
      <c r="U27" t="s">
        <v>23</v>
      </c>
      <c r="V27" t="s">
        <v>137</v>
      </c>
      <c r="W27">
        <v>4.3425000000000002</v>
      </c>
      <c r="X27">
        <v>82.492500000000007</v>
      </c>
      <c r="Y27">
        <v>27.5</v>
      </c>
      <c r="Z27">
        <v>79.14500000000001</v>
      </c>
      <c r="AA27">
        <v>70.202500000000001</v>
      </c>
      <c r="AB27" t="s">
        <v>308</v>
      </c>
      <c r="AC27" t="s">
        <v>308</v>
      </c>
      <c r="AD27" t="s">
        <v>308</v>
      </c>
      <c r="AE27" t="s">
        <v>308</v>
      </c>
      <c r="AF27" t="s">
        <v>308</v>
      </c>
      <c r="AG27" t="s">
        <v>308</v>
      </c>
    </row>
    <row r="28" spans="1:33" x14ac:dyDescent="0.2">
      <c r="A28" t="s">
        <v>226</v>
      </c>
      <c r="D28" t="s">
        <v>252</v>
      </c>
      <c r="E28">
        <v>1.5263009779546499</v>
      </c>
      <c r="F28">
        <v>18.454114206506699</v>
      </c>
      <c r="G28">
        <v>12.16888524815268</v>
      </c>
      <c r="H28">
        <v>86.336058241496943</v>
      </c>
      <c r="I28">
        <v>66.127234587931</v>
      </c>
      <c r="K28" t="s">
        <v>106</v>
      </c>
      <c r="N28" t="s">
        <v>139</v>
      </c>
      <c r="O28">
        <v>0.73</v>
      </c>
      <c r="P28">
        <v>14.4</v>
      </c>
      <c r="Q28">
        <v>28.82</v>
      </c>
      <c r="R28">
        <v>107.2</v>
      </c>
      <c r="S28">
        <v>59.95</v>
      </c>
      <c r="U28" t="s">
        <v>23</v>
      </c>
      <c r="V28" t="s">
        <v>139</v>
      </c>
      <c r="X28">
        <v>24.17</v>
      </c>
      <c r="AA28">
        <v>81.5</v>
      </c>
      <c r="AB28" t="s">
        <v>308</v>
      </c>
      <c r="AC28" t="s">
        <v>308</v>
      </c>
      <c r="AD28" t="s">
        <v>275</v>
      </c>
      <c r="AE28" t="s">
        <v>308</v>
      </c>
      <c r="AF28" t="s">
        <v>308</v>
      </c>
      <c r="AG28" t="s">
        <v>308</v>
      </c>
    </row>
    <row r="29" spans="1:33" x14ac:dyDescent="0.2">
      <c r="A29" t="s">
        <v>226</v>
      </c>
      <c r="D29" t="s">
        <v>253</v>
      </c>
      <c r="E29">
        <v>8.9221651056592801</v>
      </c>
      <c r="F29">
        <v>11.284878686370099</v>
      </c>
      <c r="G29">
        <v>1.272234933229925</v>
      </c>
      <c r="H29">
        <v>67.844379100981342</v>
      </c>
      <c r="I29">
        <v>63.201625470613898</v>
      </c>
      <c r="K29" t="s">
        <v>106</v>
      </c>
      <c r="N29" t="s">
        <v>140</v>
      </c>
      <c r="O29">
        <v>6.97</v>
      </c>
      <c r="P29">
        <v>8.17</v>
      </c>
      <c r="Q29">
        <v>1.18</v>
      </c>
      <c r="R29">
        <v>88.75</v>
      </c>
      <c r="S29">
        <v>65.47</v>
      </c>
      <c r="U29" t="s">
        <v>23</v>
      </c>
      <c r="V29" t="s">
        <v>140</v>
      </c>
      <c r="W29">
        <v>1.95</v>
      </c>
      <c r="X29">
        <v>8.004999999999999</v>
      </c>
      <c r="Y29">
        <v>4.1099999999999994</v>
      </c>
      <c r="Z29">
        <v>59</v>
      </c>
      <c r="AA29">
        <v>63</v>
      </c>
      <c r="AB29" t="s">
        <v>308</v>
      </c>
      <c r="AC29" t="s">
        <v>308</v>
      </c>
      <c r="AD29" t="s">
        <v>308</v>
      </c>
      <c r="AE29" t="s">
        <v>308</v>
      </c>
      <c r="AF29" t="s">
        <v>308</v>
      </c>
      <c r="AG29" t="s">
        <v>308</v>
      </c>
    </row>
    <row r="30" spans="1:33" x14ac:dyDescent="0.2">
      <c r="A30" t="s">
        <v>226</v>
      </c>
      <c r="D30" t="s">
        <v>254</v>
      </c>
      <c r="E30">
        <v>297.56814807158798</v>
      </c>
      <c r="F30">
        <v>102.3678917605031</v>
      </c>
      <c r="G30">
        <v>0.353389487223216</v>
      </c>
      <c r="H30">
        <v>550.28285038471051</v>
      </c>
      <c r="I30">
        <v>185.41470600340551</v>
      </c>
      <c r="K30" t="s">
        <v>106</v>
      </c>
      <c r="N30" t="s">
        <v>141</v>
      </c>
      <c r="O30">
        <v>150.19999999999999</v>
      </c>
      <c r="P30">
        <v>44.39</v>
      </c>
      <c r="Q30">
        <v>0.3</v>
      </c>
      <c r="R30">
        <v>273.18</v>
      </c>
      <c r="S30">
        <v>76.099999999999994</v>
      </c>
      <c r="U30" t="s">
        <v>23</v>
      </c>
      <c r="V30" t="s">
        <v>141</v>
      </c>
      <c r="X30">
        <v>0.33</v>
      </c>
      <c r="AA30">
        <v>57</v>
      </c>
      <c r="AB30" t="s">
        <v>275</v>
      </c>
      <c r="AC30" t="s">
        <v>275</v>
      </c>
      <c r="AD30" t="s">
        <v>275</v>
      </c>
      <c r="AE30" t="s">
        <v>275</v>
      </c>
      <c r="AF30" t="s">
        <v>275</v>
      </c>
      <c r="AG30" t="s">
        <v>308</v>
      </c>
    </row>
    <row r="31" spans="1:33" x14ac:dyDescent="0.2">
      <c r="A31" t="s">
        <v>226</v>
      </c>
      <c r="D31" t="s">
        <v>255</v>
      </c>
      <c r="E31">
        <v>0.75030320122950056</v>
      </c>
      <c r="F31">
        <v>17.84779732522605</v>
      </c>
      <c r="G31">
        <v>24.271148316484751</v>
      </c>
      <c r="H31">
        <v>91.993367907763201</v>
      </c>
      <c r="I31">
        <v>62.930300724754701</v>
      </c>
      <c r="K31" t="s">
        <v>106</v>
      </c>
      <c r="N31" t="s">
        <v>142</v>
      </c>
      <c r="O31">
        <v>1.34</v>
      </c>
      <c r="P31">
        <v>0.43</v>
      </c>
      <c r="Q31">
        <v>0.32</v>
      </c>
      <c r="R31">
        <v>121.28</v>
      </c>
      <c r="S31">
        <v>119.62</v>
      </c>
      <c r="U31" t="s">
        <v>23</v>
      </c>
      <c r="V31" t="s">
        <v>142</v>
      </c>
      <c r="W31">
        <v>0.7</v>
      </c>
      <c r="X31">
        <v>18.68</v>
      </c>
      <c r="Y31">
        <v>27.07</v>
      </c>
      <c r="Z31">
        <v>72</v>
      </c>
      <c r="AA31">
        <v>63.5</v>
      </c>
      <c r="AB31" t="s">
        <v>308</v>
      </c>
      <c r="AC31" t="s">
        <v>275</v>
      </c>
      <c r="AD31" t="s">
        <v>308</v>
      </c>
      <c r="AE31" t="s">
        <v>275</v>
      </c>
      <c r="AF31" t="s">
        <v>275</v>
      </c>
      <c r="AG31" t="s">
        <v>275</v>
      </c>
    </row>
    <row r="32" spans="1:33" x14ac:dyDescent="0.2">
      <c r="A32" t="s">
        <v>226</v>
      </c>
      <c r="D32" t="s">
        <v>256</v>
      </c>
      <c r="E32">
        <v>14.3180382134471</v>
      </c>
      <c r="F32">
        <v>8.148159993971646</v>
      </c>
      <c r="G32">
        <v>0.67858827606724104</v>
      </c>
      <c r="H32">
        <v>52.496683154134253</v>
      </c>
      <c r="I32">
        <v>32.82584039724685</v>
      </c>
      <c r="K32" t="s">
        <v>106</v>
      </c>
      <c r="N32" t="s">
        <v>143</v>
      </c>
      <c r="O32">
        <v>7.72</v>
      </c>
      <c r="P32">
        <v>14.21</v>
      </c>
      <c r="Q32">
        <v>1.7</v>
      </c>
      <c r="R32">
        <v>21.68</v>
      </c>
      <c r="S32">
        <v>34.15</v>
      </c>
      <c r="U32" t="s">
        <v>23</v>
      </c>
      <c r="V32" t="s">
        <v>143</v>
      </c>
      <c r="W32">
        <v>13.94</v>
      </c>
      <c r="X32">
        <v>16.739999999999998</v>
      </c>
      <c r="Y32">
        <v>1.22</v>
      </c>
      <c r="Z32">
        <v>80.775000000000006</v>
      </c>
      <c r="AA32">
        <v>64.08</v>
      </c>
      <c r="AB32" t="s">
        <v>308</v>
      </c>
      <c r="AC32" t="s">
        <v>308</v>
      </c>
      <c r="AD32" t="s">
        <v>275</v>
      </c>
      <c r="AE32" t="s">
        <v>308</v>
      </c>
      <c r="AF32" t="s">
        <v>308</v>
      </c>
      <c r="AG32" t="s">
        <v>308</v>
      </c>
    </row>
    <row r="33" spans="1:33" x14ac:dyDescent="0.2">
      <c r="A33" t="s">
        <v>226</v>
      </c>
      <c r="D33" t="s">
        <v>257</v>
      </c>
      <c r="E33">
        <v>60.483388156777551</v>
      </c>
      <c r="F33">
        <v>10.5089150565552</v>
      </c>
      <c r="G33">
        <v>0.187700735399011</v>
      </c>
      <c r="H33">
        <v>112.3993445879465</v>
      </c>
      <c r="I33">
        <v>28.886183540346501</v>
      </c>
      <c r="K33" t="s">
        <v>106</v>
      </c>
      <c r="N33" t="s">
        <v>144</v>
      </c>
      <c r="O33">
        <v>10.55</v>
      </c>
      <c r="P33">
        <v>13.9</v>
      </c>
      <c r="Q33">
        <v>1.25</v>
      </c>
      <c r="R33">
        <v>57.74</v>
      </c>
      <c r="S33">
        <v>34.39</v>
      </c>
      <c r="U33" t="s">
        <v>23</v>
      </c>
      <c r="V33" t="s">
        <v>144</v>
      </c>
      <c r="W33">
        <v>16.61</v>
      </c>
      <c r="X33">
        <v>27.155000000000001</v>
      </c>
      <c r="Y33">
        <v>1.64</v>
      </c>
      <c r="Z33">
        <v>76.27000000000001</v>
      </c>
      <c r="AA33">
        <v>69.87</v>
      </c>
      <c r="AB33" t="s">
        <v>308</v>
      </c>
      <c r="AC33" t="s">
        <v>308</v>
      </c>
      <c r="AD33" t="s">
        <v>275</v>
      </c>
      <c r="AE33" t="s">
        <v>308</v>
      </c>
      <c r="AF33" t="s">
        <v>308</v>
      </c>
      <c r="AG33" t="s">
        <v>308</v>
      </c>
    </row>
    <row r="34" spans="1:33" x14ac:dyDescent="0.2">
      <c r="A34" t="s">
        <v>226</v>
      </c>
      <c r="D34" t="s">
        <v>258</v>
      </c>
      <c r="H34">
        <v>0</v>
      </c>
      <c r="I34">
        <v>113.9129138231268</v>
      </c>
      <c r="K34" t="s">
        <v>106</v>
      </c>
      <c r="N34" t="s">
        <v>145</v>
      </c>
      <c r="U34" t="s">
        <v>23</v>
      </c>
      <c r="V34" t="s">
        <v>145</v>
      </c>
      <c r="X34">
        <v>11.705</v>
      </c>
      <c r="AA34">
        <v>30.5</v>
      </c>
      <c r="AB34" t="s">
        <v>308</v>
      </c>
      <c r="AC34" t="s">
        <v>308</v>
      </c>
      <c r="AD34" t="s">
        <v>275</v>
      </c>
      <c r="AE34" t="s">
        <v>275</v>
      </c>
      <c r="AF34" t="s">
        <v>308</v>
      </c>
      <c r="AG34" t="s">
        <v>308</v>
      </c>
    </row>
    <row r="35" spans="1:33" x14ac:dyDescent="0.2">
      <c r="A35" t="s">
        <v>226</v>
      </c>
      <c r="D35" t="s">
        <v>259</v>
      </c>
      <c r="F35">
        <v>1.0450488887389</v>
      </c>
      <c r="H35">
        <v>75.397285071579944</v>
      </c>
      <c r="I35">
        <v>68.749633186654549</v>
      </c>
      <c r="K35" t="s">
        <v>106</v>
      </c>
      <c r="N35" t="s">
        <v>146</v>
      </c>
      <c r="P35">
        <v>2.0099999999999998</v>
      </c>
      <c r="S35">
        <v>71.959999999999994</v>
      </c>
      <c r="U35" t="s">
        <v>23</v>
      </c>
      <c r="V35" t="s">
        <v>146</v>
      </c>
      <c r="X35">
        <v>8.7349999999999994</v>
      </c>
      <c r="AA35">
        <v>76.5</v>
      </c>
      <c r="AB35" t="s">
        <v>308</v>
      </c>
      <c r="AC35" t="s">
        <v>308</v>
      </c>
      <c r="AD35" t="s">
        <v>308</v>
      </c>
      <c r="AE35" t="s">
        <v>308</v>
      </c>
      <c r="AF35" t="s">
        <v>308</v>
      </c>
      <c r="AG35" t="s">
        <v>308</v>
      </c>
    </row>
    <row r="36" spans="1:33" x14ac:dyDescent="0.2">
      <c r="A36" t="s">
        <v>226</v>
      </c>
      <c r="D36" t="s">
        <v>260</v>
      </c>
      <c r="E36">
        <v>28.2433176178377</v>
      </c>
      <c r="F36">
        <v>0.74037163302798104</v>
      </c>
      <c r="G36">
        <v>1.6938128567237299E-2</v>
      </c>
      <c r="H36">
        <v>41.657015384863001</v>
      </c>
      <c r="I36">
        <v>31.417498899928798</v>
      </c>
      <c r="K36" t="s">
        <v>106</v>
      </c>
      <c r="N36" t="s">
        <v>147</v>
      </c>
      <c r="U36" t="s">
        <v>23</v>
      </c>
      <c r="V36" t="s">
        <v>147</v>
      </c>
      <c r="W36">
        <v>0.60499999999999998</v>
      </c>
      <c r="X36">
        <v>0.28999999999999998</v>
      </c>
      <c r="Y36">
        <v>0.69499999999999995</v>
      </c>
      <c r="Z36">
        <v>36</v>
      </c>
      <c r="AA36">
        <v>45</v>
      </c>
      <c r="AB36" t="s">
        <v>308</v>
      </c>
      <c r="AC36" t="s">
        <v>308</v>
      </c>
      <c r="AD36" t="s">
        <v>308</v>
      </c>
      <c r="AE36" t="s">
        <v>308</v>
      </c>
      <c r="AF36" t="s">
        <v>308</v>
      </c>
      <c r="AG36" t="s">
        <v>308</v>
      </c>
    </row>
    <row r="37" spans="1:33" x14ac:dyDescent="0.2">
      <c r="A37" t="s">
        <v>226</v>
      </c>
      <c r="D37" t="s">
        <v>261</v>
      </c>
      <c r="F37">
        <v>9.4288223930761301</v>
      </c>
      <c r="H37">
        <v>145.64723037051351</v>
      </c>
      <c r="I37">
        <v>31.381565324063448</v>
      </c>
      <c r="K37" t="s">
        <v>106</v>
      </c>
      <c r="N37" t="s">
        <v>148</v>
      </c>
      <c r="U37" t="s">
        <v>23</v>
      </c>
      <c r="V37" t="s">
        <v>148</v>
      </c>
      <c r="X37">
        <v>9.48</v>
      </c>
      <c r="AA37">
        <v>34.5</v>
      </c>
      <c r="AB37" t="s">
        <v>275</v>
      </c>
      <c r="AC37" t="s">
        <v>275</v>
      </c>
      <c r="AD37" t="s">
        <v>308</v>
      </c>
      <c r="AE37" t="s">
        <v>308</v>
      </c>
      <c r="AF37" t="s">
        <v>275</v>
      </c>
      <c r="AG37" t="s">
        <v>308</v>
      </c>
    </row>
    <row r="38" spans="1:33" x14ac:dyDescent="0.2">
      <c r="A38" t="s">
        <v>226</v>
      </c>
      <c r="D38" t="s">
        <v>262</v>
      </c>
      <c r="F38">
        <v>1.38007772846652</v>
      </c>
      <c r="H38">
        <v>59.691972596397747</v>
      </c>
      <c r="I38">
        <v>39.196193226600663</v>
      </c>
      <c r="K38" t="s">
        <v>106</v>
      </c>
      <c r="N38" t="s">
        <v>149</v>
      </c>
      <c r="U38" t="s">
        <v>23</v>
      </c>
      <c r="V38" t="s">
        <v>149</v>
      </c>
      <c r="W38">
        <v>0.38500000000000001</v>
      </c>
      <c r="X38">
        <v>1.28</v>
      </c>
      <c r="Y38">
        <v>3.3450000000000002</v>
      </c>
      <c r="Z38">
        <v>70.16</v>
      </c>
      <c r="AA38">
        <v>50.41</v>
      </c>
      <c r="AB38" t="s">
        <v>308</v>
      </c>
      <c r="AC38" t="s">
        <v>308</v>
      </c>
      <c r="AD38" t="s">
        <v>308</v>
      </c>
      <c r="AE38" t="s">
        <v>308</v>
      </c>
      <c r="AF38" t="s">
        <v>308</v>
      </c>
      <c r="AG38" t="s">
        <v>308</v>
      </c>
    </row>
    <row r="39" spans="1:33" x14ac:dyDescent="0.2">
      <c r="A39" t="s">
        <v>226</v>
      </c>
      <c r="D39" t="s">
        <v>263</v>
      </c>
      <c r="E39">
        <v>5.7525446005356304</v>
      </c>
      <c r="F39">
        <v>19.502340573096848</v>
      </c>
      <c r="G39">
        <v>3.390918162258195</v>
      </c>
      <c r="H39">
        <v>59.242754336815203</v>
      </c>
      <c r="I39">
        <v>54.289013820722701</v>
      </c>
      <c r="K39" t="s">
        <v>106</v>
      </c>
      <c r="N39" t="s">
        <v>150</v>
      </c>
      <c r="O39">
        <v>7.99</v>
      </c>
      <c r="P39">
        <v>23.86</v>
      </c>
      <c r="Q39">
        <v>2.99</v>
      </c>
      <c r="R39">
        <v>74.28</v>
      </c>
      <c r="S39">
        <v>53</v>
      </c>
      <c r="U39" t="s">
        <v>23</v>
      </c>
      <c r="V39" t="s">
        <v>150</v>
      </c>
      <c r="W39">
        <v>6.0674999999999999</v>
      </c>
      <c r="X39">
        <v>33.229999999999997</v>
      </c>
      <c r="Y39">
        <v>5.32</v>
      </c>
      <c r="Z39">
        <v>84.195000000000007</v>
      </c>
      <c r="AA39">
        <v>72.837500000000006</v>
      </c>
      <c r="AB39" t="s">
        <v>308</v>
      </c>
      <c r="AC39" t="s">
        <v>308</v>
      </c>
      <c r="AD39" t="s">
        <v>308</v>
      </c>
      <c r="AE39" t="s">
        <v>308</v>
      </c>
      <c r="AF39" t="s">
        <v>308</v>
      </c>
      <c r="AG39" t="s">
        <v>308</v>
      </c>
    </row>
    <row r="40" spans="1:33" x14ac:dyDescent="0.2">
      <c r="A40" t="s">
        <v>226</v>
      </c>
      <c r="D40" t="s">
        <v>264</v>
      </c>
      <c r="H40">
        <v>0</v>
      </c>
      <c r="I40">
        <v>0</v>
      </c>
      <c r="K40" t="s">
        <v>106</v>
      </c>
      <c r="N40" t="s">
        <v>151</v>
      </c>
      <c r="P40">
        <v>64.13</v>
      </c>
      <c r="U40" t="s">
        <v>23</v>
      </c>
      <c r="V40" t="s">
        <v>151</v>
      </c>
      <c r="AB40" t="s">
        <v>308</v>
      </c>
      <c r="AC40" t="s">
        <v>308</v>
      </c>
      <c r="AD40" t="s">
        <v>275</v>
      </c>
      <c r="AE40" t="s">
        <v>275</v>
      </c>
      <c r="AF40" t="s">
        <v>308</v>
      </c>
      <c r="AG40" t="s">
        <v>308</v>
      </c>
    </row>
    <row r="41" spans="1:33" x14ac:dyDescent="0.2">
      <c r="A41" t="s">
        <v>226</v>
      </c>
      <c r="D41" t="s">
        <v>265</v>
      </c>
      <c r="F41">
        <v>22.338314078326551</v>
      </c>
      <c r="H41">
        <v>48.89105785062155</v>
      </c>
      <c r="I41">
        <v>55.021146134303748</v>
      </c>
      <c r="K41" t="s">
        <v>106</v>
      </c>
      <c r="N41" t="s">
        <v>152</v>
      </c>
      <c r="P41">
        <v>10.56</v>
      </c>
      <c r="S41">
        <v>49.96</v>
      </c>
      <c r="U41" t="s">
        <v>23</v>
      </c>
      <c r="V41" t="s">
        <v>152</v>
      </c>
      <c r="W41">
        <v>10.99</v>
      </c>
      <c r="X41">
        <v>29.43</v>
      </c>
      <c r="Y41">
        <v>2.73</v>
      </c>
      <c r="Z41">
        <v>92.5</v>
      </c>
      <c r="AA41">
        <v>75.5</v>
      </c>
      <c r="AB41" t="s">
        <v>275</v>
      </c>
      <c r="AC41" t="s">
        <v>308</v>
      </c>
      <c r="AD41" t="s">
        <v>275</v>
      </c>
      <c r="AE41" t="s">
        <v>275</v>
      </c>
      <c r="AF41" t="s">
        <v>275</v>
      </c>
      <c r="AG41" t="s">
        <v>308</v>
      </c>
    </row>
    <row r="42" spans="1:33" x14ac:dyDescent="0.2">
      <c r="A42" t="s">
        <v>226</v>
      </c>
      <c r="D42" t="s">
        <v>266</v>
      </c>
      <c r="E42">
        <v>6.0342047709081594</v>
      </c>
      <c r="F42">
        <v>8.9832399177456246</v>
      </c>
      <c r="G42">
        <v>1.52973078361307</v>
      </c>
      <c r="H42">
        <v>83.559870819601798</v>
      </c>
      <c r="I42">
        <v>58.204430396791949</v>
      </c>
      <c r="K42" t="s">
        <v>106</v>
      </c>
      <c r="N42" t="s">
        <v>153</v>
      </c>
      <c r="O42">
        <v>11.64</v>
      </c>
      <c r="P42">
        <v>6.7</v>
      </c>
      <c r="Q42">
        <v>0.57999999999999996</v>
      </c>
      <c r="R42">
        <v>88.82</v>
      </c>
      <c r="S42">
        <v>56.54</v>
      </c>
      <c r="U42" t="s">
        <v>23</v>
      </c>
      <c r="V42" t="s">
        <v>153</v>
      </c>
      <c r="W42">
        <v>6.85</v>
      </c>
      <c r="X42">
        <v>50.157499999999999</v>
      </c>
      <c r="Y42">
        <v>5.99</v>
      </c>
      <c r="Z42">
        <v>71.064999999999998</v>
      </c>
      <c r="AA42">
        <v>75.504999999999995</v>
      </c>
      <c r="AB42" t="s">
        <v>308</v>
      </c>
      <c r="AC42" t="s">
        <v>308</v>
      </c>
      <c r="AD42" t="s">
        <v>308</v>
      </c>
      <c r="AE42" t="s">
        <v>308</v>
      </c>
      <c r="AF42" t="s">
        <v>308</v>
      </c>
      <c r="AG42" t="s">
        <v>308</v>
      </c>
    </row>
    <row r="43" spans="1:33" x14ac:dyDescent="0.2">
      <c r="A43" t="s">
        <v>226</v>
      </c>
      <c r="D43" t="s">
        <v>267</v>
      </c>
      <c r="E43">
        <v>19.997318858265398</v>
      </c>
      <c r="F43">
        <v>18.750195475042851</v>
      </c>
      <c r="G43">
        <v>0.95562025843459353</v>
      </c>
      <c r="H43">
        <v>79.070126904489058</v>
      </c>
      <c r="I43">
        <v>66.232548571472847</v>
      </c>
      <c r="K43" t="s">
        <v>106</v>
      </c>
      <c r="N43" t="s">
        <v>154</v>
      </c>
      <c r="O43">
        <v>23.31</v>
      </c>
      <c r="P43">
        <v>14.96</v>
      </c>
      <c r="Q43">
        <v>0.64</v>
      </c>
      <c r="R43">
        <v>93.54</v>
      </c>
      <c r="S43">
        <v>58.53</v>
      </c>
      <c r="U43" t="s">
        <v>23</v>
      </c>
      <c r="V43" t="s">
        <v>154</v>
      </c>
      <c r="W43">
        <v>14.9</v>
      </c>
      <c r="X43">
        <v>19.899999999999999</v>
      </c>
      <c r="Y43">
        <v>1.35</v>
      </c>
      <c r="Z43">
        <v>90.199999999999989</v>
      </c>
      <c r="AA43">
        <v>65.8</v>
      </c>
      <c r="AB43" t="s">
        <v>275</v>
      </c>
      <c r="AC43" t="s">
        <v>308</v>
      </c>
      <c r="AD43" t="s">
        <v>308</v>
      </c>
      <c r="AE43" t="s">
        <v>275</v>
      </c>
      <c r="AF43" t="s">
        <v>308</v>
      </c>
      <c r="AG43" t="s">
        <v>308</v>
      </c>
    </row>
    <row r="44" spans="1:33" x14ac:dyDescent="0.2">
      <c r="A44" t="s">
        <v>226</v>
      </c>
      <c r="D44" t="s">
        <v>268</v>
      </c>
      <c r="E44">
        <v>3.8923599777834652</v>
      </c>
      <c r="F44">
        <v>20.685580495237801</v>
      </c>
      <c r="G44">
        <v>5.3802396800093302</v>
      </c>
      <c r="H44">
        <v>90.462801616745352</v>
      </c>
      <c r="I44">
        <v>63.000015152353903</v>
      </c>
      <c r="K44" t="s">
        <v>106</v>
      </c>
      <c r="N44" t="s">
        <v>158</v>
      </c>
      <c r="O44">
        <v>1.07</v>
      </c>
      <c r="P44">
        <v>15.58</v>
      </c>
      <c r="Q44">
        <v>15.52</v>
      </c>
      <c r="R44">
        <v>70.23</v>
      </c>
      <c r="S44">
        <v>58</v>
      </c>
      <c r="U44" t="s">
        <v>23</v>
      </c>
      <c r="V44" t="s">
        <v>158</v>
      </c>
      <c r="W44">
        <v>2.605</v>
      </c>
      <c r="X44">
        <v>27.51</v>
      </c>
      <c r="Y44">
        <v>10.585000000000001</v>
      </c>
      <c r="Z44">
        <v>63</v>
      </c>
      <c r="AA44">
        <v>74.5</v>
      </c>
      <c r="AB44" t="s">
        <v>275</v>
      </c>
      <c r="AC44" t="s">
        <v>275</v>
      </c>
      <c r="AD44" t="s">
        <v>275</v>
      </c>
      <c r="AE44" t="s">
        <v>308</v>
      </c>
      <c r="AF44" t="s">
        <v>275</v>
      </c>
      <c r="AG44" t="s">
        <v>275</v>
      </c>
    </row>
    <row r="45" spans="1:33" x14ac:dyDescent="0.2">
      <c r="A45" t="s">
        <v>226</v>
      </c>
      <c r="D45" t="s">
        <v>269</v>
      </c>
      <c r="F45">
        <v>3.073753843277685</v>
      </c>
      <c r="H45">
        <v>117.877250122546</v>
      </c>
      <c r="I45">
        <v>84.561445018730495</v>
      </c>
      <c r="K45" t="s">
        <v>106</v>
      </c>
      <c r="N45" t="s">
        <v>159</v>
      </c>
      <c r="O45">
        <v>1.26</v>
      </c>
      <c r="P45">
        <v>1.98</v>
      </c>
      <c r="Q45">
        <v>1.66</v>
      </c>
      <c r="R45">
        <v>109.15</v>
      </c>
      <c r="S45">
        <v>76.78</v>
      </c>
      <c r="U45" t="s">
        <v>23</v>
      </c>
      <c r="V45" t="s">
        <v>159</v>
      </c>
      <c r="W45">
        <v>0.12</v>
      </c>
      <c r="X45">
        <v>0.84000000000000008</v>
      </c>
      <c r="Y45">
        <v>7.0950000000000006</v>
      </c>
      <c r="Z45">
        <v>68.5</v>
      </c>
      <c r="AA45">
        <v>57</v>
      </c>
      <c r="AB45" t="s">
        <v>275</v>
      </c>
      <c r="AC45" t="s">
        <v>308</v>
      </c>
      <c r="AD45" t="s">
        <v>275</v>
      </c>
      <c r="AE45" t="s">
        <v>308</v>
      </c>
      <c r="AF45" t="s">
        <v>275</v>
      </c>
      <c r="AG45" t="s">
        <v>275</v>
      </c>
    </row>
    <row r="46" spans="1:33" x14ac:dyDescent="0.2">
      <c r="A46" t="s">
        <v>226</v>
      </c>
      <c r="D46" t="s">
        <v>270</v>
      </c>
      <c r="E46">
        <v>3.1885880661089701</v>
      </c>
      <c r="F46">
        <v>75.691307856169658</v>
      </c>
      <c r="G46">
        <v>9.4217311480088597</v>
      </c>
      <c r="H46">
        <v>11.282702030389149</v>
      </c>
      <c r="I46">
        <v>153.1389413807494</v>
      </c>
      <c r="K46" t="s">
        <v>106</v>
      </c>
      <c r="N46" t="s">
        <v>160</v>
      </c>
      <c r="P46">
        <v>2.71</v>
      </c>
      <c r="S46">
        <v>22.8</v>
      </c>
      <c r="U46" t="s">
        <v>23</v>
      </c>
      <c r="V46" t="s">
        <v>160</v>
      </c>
      <c r="W46">
        <v>10.185</v>
      </c>
      <c r="X46">
        <v>71.974999999999994</v>
      </c>
      <c r="Y46">
        <v>10.234999999999999</v>
      </c>
      <c r="Z46">
        <v>61.72</v>
      </c>
      <c r="AA46">
        <v>64.592500000000001</v>
      </c>
      <c r="AB46" t="s">
        <v>308</v>
      </c>
      <c r="AC46" t="s">
        <v>308</v>
      </c>
      <c r="AD46" t="s">
        <v>308</v>
      </c>
      <c r="AE46" t="s">
        <v>308</v>
      </c>
      <c r="AF46" t="s">
        <v>308</v>
      </c>
      <c r="AG46" t="s">
        <v>308</v>
      </c>
    </row>
    <row r="47" spans="1:33" x14ac:dyDescent="0.2">
      <c r="A47" t="s">
        <v>226</v>
      </c>
      <c r="D47" t="s">
        <v>271</v>
      </c>
      <c r="E47">
        <v>14.077720310684001</v>
      </c>
      <c r="F47">
        <v>13.443649451189151</v>
      </c>
      <c r="G47">
        <v>0.95760505186156952</v>
      </c>
      <c r="H47">
        <v>40.830237979546098</v>
      </c>
      <c r="I47">
        <v>33.93427014906225</v>
      </c>
      <c r="K47" t="s">
        <v>106</v>
      </c>
      <c r="N47" t="s">
        <v>161</v>
      </c>
      <c r="O47">
        <v>37.67</v>
      </c>
      <c r="P47">
        <v>6.43</v>
      </c>
      <c r="Q47">
        <v>0.54</v>
      </c>
      <c r="R47">
        <v>92.09</v>
      </c>
      <c r="S47">
        <v>22.48</v>
      </c>
      <c r="U47" t="s">
        <v>23</v>
      </c>
      <c r="V47" t="s">
        <v>161</v>
      </c>
      <c r="W47">
        <v>13.585000000000001</v>
      </c>
      <c r="X47">
        <v>23.15</v>
      </c>
      <c r="Y47">
        <v>1.7</v>
      </c>
      <c r="Z47">
        <v>77.5</v>
      </c>
      <c r="AA47">
        <v>65</v>
      </c>
      <c r="AB47" t="s">
        <v>308</v>
      </c>
      <c r="AC47" t="s">
        <v>308</v>
      </c>
      <c r="AD47" t="s">
        <v>275</v>
      </c>
      <c r="AE47" t="s">
        <v>275</v>
      </c>
      <c r="AF47" t="s">
        <v>308</v>
      </c>
      <c r="AG47" t="s">
        <v>308</v>
      </c>
    </row>
    <row r="48" spans="1:33" x14ac:dyDescent="0.2">
      <c r="A48" t="s">
        <v>226</v>
      </c>
      <c r="D48" t="s">
        <v>272</v>
      </c>
      <c r="F48">
        <v>63.241581437042051</v>
      </c>
      <c r="H48">
        <v>8.4868383775494642</v>
      </c>
      <c r="I48">
        <v>114.87202388696861</v>
      </c>
      <c r="K48" t="s">
        <v>106</v>
      </c>
      <c r="N48" t="s">
        <v>162</v>
      </c>
      <c r="O48">
        <v>4.1100000000000003</v>
      </c>
      <c r="P48">
        <v>9.59</v>
      </c>
      <c r="Q48">
        <v>2.54</v>
      </c>
      <c r="R48">
        <v>24.73</v>
      </c>
      <c r="S48">
        <v>33.14</v>
      </c>
      <c r="U48" t="s">
        <v>23</v>
      </c>
      <c r="V48" t="s">
        <v>162</v>
      </c>
      <c r="W48">
        <v>7.4950000000000001</v>
      </c>
      <c r="X48">
        <v>22.98</v>
      </c>
      <c r="Y48">
        <v>3.98</v>
      </c>
      <c r="Z48">
        <v>71.5</v>
      </c>
      <c r="AA48">
        <v>58.5</v>
      </c>
      <c r="AB48" t="s">
        <v>275</v>
      </c>
      <c r="AC48" t="s">
        <v>275</v>
      </c>
      <c r="AD48" t="s">
        <v>275</v>
      </c>
      <c r="AE48" t="s">
        <v>308</v>
      </c>
      <c r="AF48" t="s">
        <v>275</v>
      </c>
      <c r="AG48" t="s">
        <v>308</v>
      </c>
    </row>
    <row r="49" spans="1:27" x14ac:dyDescent="0.2">
      <c r="A49" t="s">
        <v>226</v>
      </c>
      <c r="D49" t="s">
        <v>273</v>
      </c>
      <c r="E49">
        <v>319.56769429576252</v>
      </c>
      <c r="F49">
        <v>100.42229696535</v>
      </c>
      <c r="G49">
        <v>0.32422781241552101</v>
      </c>
      <c r="H49">
        <v>570.24107212118849</v>
      </c>
      <c r="I49">
        <v>170.19962645922351</v>
      </c>
      <c r="K49" t="s">
        <v>106</v>
      </c>
      <c r="N49" t="s">
        <v>163</v>
      </c>
      <c r="O49">
        <v>105.6</v>
      </c>
      <c r="P49">
        <v>38.51</v>
      </c>
      <c r="Q49">
        <v>0.36</v>
      </c>
      <c r="R49">
        <v>209.65</v>
      </c>
      <c r="S49">
        <v>72.2</v>
      </c>
      <c r="U49" t="s">
        <v>23</v>
      </c>
      <c r="V49" t="s">
        <v>163</v>
      </c>
      <c r="W49">
        <v>233.73</v>
      </c>
      <c r="X49">
        <v>56.984999999999999</v>
      </c>
      <c r="Y49">
        <v>0.245</v>
      </c>
      <c r="Z49">
        <v>449</v>
      </c>
      <c r="AA49">
        <v>110</v>
      </c>
    </row>
  </sheetData>
  <conditionalFormatting sqref="A1:XFD1048576">
    <cfRule type="containsText" dxfId="0" priority="1" operator="containsText" text="match">
      <formula>NOT(ISERROR(SEARCH("match",A1)))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49"/>
  <sheetViews>
    <sheetView topLeftCell="F18" zoomScale="125" workbookViewId="0">
      <selection activeCell="M33" sqref="M33"/>
    </sheetView>
  </sheetViews>
  <sheetFormatPr baseColWidth="10" defaultColWidth="8.83203125" defaultRowHeight="15" x14ac:dyDescent="0.2"/>
  <cols>
    <col min="1" max="1" width="19" bestFit="1" customWidth="1"/>
    <col min="2" max="2" width="15" bestFit="1" customWidth="1"/>
    <col min="3" max="3" width="12.5" bestFit="1" customWidth="1"/>
    <col min="4" max="4" width="15" bestFit="1" customWidth="1"/>
    <col min="11" max="11" width="26.33203125" bestFit="1" customWidth="1"/>
    <col min="12" max="12" width="15" bestFit="1" customWidth="1"/>
    <col min="15" max="15" width="13.5" bestFit="1" customWidth="1"/>
    <col min="20" max="20" width="14.5" bestFit="1" customWidth="1"/>
    <col min="23" max="23" width="15" bestFit="1" customWidth="1"/>
    <col min="35" max="35" width="14.5" bestFit="1" customWidth="1"/>
  </cols>
  <sheetData>
    <row r="1" spans="1:9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0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T1" t="s">
        <v>0</v>
      </c>
      <c r="U1" t="s">
        <v>1</v>
      </c>
      <c r="V1" t="s">
        <v>2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I1" t="s">
        <v>0</v>
      </c>
      <c r="AJ1" t="s">
        <v>1</v>
      </c>
      <c r="AK1" t="s">
        <v>2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AQ1" t="s">
        <v>14</v>
      </c>
      <c r="AR1" t="s">
        <v>15</v>
      </c>
      <c r="AS1" t="s">
        <v>16</v>
      </c>
      <c r="AT1" t="s">
        <v>17</v>
      </c>
      <c r="AU1" t="s">
        <v>18</v>
      </c>
      <c r="AV1" t="s">
        <v>19</v>
      </c>
      <c r="AX1" t="s">
        <v>0</v>
      </c>
      <c r="AY1" t="s">
        <v>1</v>
      </c>
      <c r="AZ1" t="s">
        <v>2</v>
      </c>
      <c r="BA1" t="s">
        <v>9</v>
      </c>
      <c r="BB1" t="s">
        <v>10</v>
      </c>
      <c r="BC1" t="s">
        <v>11</v>
      </c>
      <c r="BD1" t="s">
        <v>12</v>
      </c>
      <c r="BE1" t="s">
        <v>13</v>
      </c>
      <c r="BF1" t="s">
        <v>14</v>
      </c>
      <c r="BG1" t="s">
        <v>15</v>
      </c>
      <c r="BH1" t="s">
        <v>16</v>
      </c>
      <c r="BI1" t="s">
        <v>17</v>
      </c>
      <c r="BJ1" t="s">
        <v>18</v>
      </c>
      <c r="BK1" t="s">
        <v>19</v>
      </c>
      <c r="BM1" t="s">
        <v>0</v>
      </c>
      <c r="BN1" t="s">
        <v>1</v>
      </c>
      <c r="BO1" t="s">
        <v>2</v>
      </c>
      <c r="BP1" t="s">
        <v>9</v>
      </c>
      <c r="BQ1" t="s">
        <v>10</v>
      </c>
      <c r="BR1" t="s">
        <v>11</v>
      </c>
      <c r="BS1" t="s">
        <v>12</v>
      </c>
      <c r="BT1" t="s">
        <v>13</v>
      </c>
      <c r="BU1" t="s">
        <v>14</v>
      </c>
      <c r="BV1" t="s">
        <v>15</v>
      </c>
      <c r="BW1" t="s">
        <v>16</v>
      </c>
      <c r="BX1" t="s">
        <v>17</v>
      </c>
      <c r="BY1" t="s">
        <v>18</v>
      </c>
      <c r="BZ1" t="s">
        <v>19</v>
      </c>
      <c r="CB1" t="s">
        <v>0</v>
      </c>
      <c r="CC1" t="s">
        <v>1</v>
      </c>
      <c r="CD1" t="s">
        <v>2</v>
      </c>
      <c r="CE1" t="s">
        <v>9</v>
      </c>
      <c r="CF1" t="s">
        <v>10</v>
      </c>
      <c r="CG1" t="s">
        <v>11</v>
      </c>
      <c r="CH1" t="s">
        <v>12</v>
      </c>
      <c r="CI1" t="s">
        <v>13</v>
      </c>
      <c r="CJ1" t="s">
        <v>14</v>
      </c>
      <c r="CK1" t="s">
        <v>15</v>
      </c>
      <c r="CL1" t="s">
        <v>16</v>
      </c>
      <c r="CM1" t="s">
        <v>17</v>
      </c>
      <c r="CN1" t="s">
        <v>18</v>
      </c>
      <c r="CO1" t="s">
        <v>19</v>
      </c>
    </row>
    <row r="2" spans="1:93" x14ac:dyDescent="0.2">
      <c r="A2" t="s">
        <v>20</v>
      </c>
      <c r="B2" t="s">
        <v>21</v>
      </c>
      <c r="D2" t="s">
        <v>22</v>
      </c>
      <c r="E2" t="e">
        <v>#VALUE!</v>
      </c>
      <c r="F2">
        <v>0.69</v>
      </c>
      <c r="G2" t="e">
        <v>#VALUE!</v>
      </c>
      <c r="H2" t="e">
        <v>#VALUE!</v>
      </c>
      <c r="I2">
        <v>14.39</v>
      </c>
      <c r="K2" t="s">
        <v>23</v>
      </c>
      <c r="L2" t="s">
        <v>22</v>
      </c>
      <c r="M2">
        <f>AVERAGE(X2,Y2,AM2,AN2,BB2,BC2,BQ3,BR3,CF2,CG2)</f>
        <v>6.31</v>
      </c>
      <c r="N2">
        <f>AVERAGE(Z2,AA2,AO2,AP2,BD2,BE2,BS3,BT3,CH2,CI2)</f>
        <v>4.7675000000000001</v>
      </c>
      <c r="O2" s="4">
        <f>AVERAGE(AB2,AQ2,AR2,BF2,BG2,BU2,BV2,CJ2,CK2)</f>
        <v>9.7799999999999994</v>
      </c>
      <c r="P2">
        <f>AVERAGE(AD2,AE2,AS2,AT2,BH2,BI2,BW2,BX2,CL2,CM2)</f>
        <v>76.399999999999991</v>
      </c>
      <c r="Q2">
        <f>AVERAGE(AF2,AG2,AU2,AV2,BJ2,BK2,BY2,BZ2,CN2,CO2)</f>
        <v>67.37</v>
      </c>
      <c r="T2" t="s">
        <v>24</v>
      </c>
      <c r="U2" t="s">
        <v>25</v>
      </c>
      <c r="V2" t="s">
        <v>26</v>
      </c>
      <c r="W2" t="s">
        <v>22</v>
      </c>
      <c r="X2" t="s">
        <v>274</v>
      </c>
      <c r="Y2">
        <v>0.03</v>
      </c>
      <c r="Z2">
        <v>3.35</v>
      </c>
      <c r="AA2">
        <v>2.88</v>
      </c>
      <c r="AB2" t="s">
        <v>274</v>
      </c>
      <c r="AC2" s="4">
        <v>95.33</v>
      </c>
      <c r="AD2" t="s">
        <v>274</v>
      </c>
      <c r="AE2">
        <v>67</v>
      </c>
      <c r="AF2">
        <v>69</v>
      </c>
      <c r="AG2">
        <v>72</v>
      </c>
      <c r="AI2" t="s">
        <v>27</v>
      </c>
      <c r="AJ2" t="s">
        <v>28</v>
      </c>
      <c r="AL2" t="s">
        <v>22</v>
      </c>
      <c r="AM2">
        <v>0.34</v>
      </c>
      <c r="AN2">
        <v>18.559999999999999</v>
      </c>
      <c r="AO2">
        <v>6.6</v>
      </c>
      <c r="AP2">
        <v>6.24</v>
      </c>
      <c r="AQ2">
        <v>19.22</v>
      </c>
      <c r="AR2">
        <v>0.34</v>
      </c>
      <c r="AS2">
        <v>70.38</v>
      </c>
      <c r="AT2">
        <v>91.82</v>
      </c>
      <c r="AU2">
        <v>70.2</v>
      </c>
      <c r="AV2">
        <v>58.28</v>
      </c>
    </row>
    <row r="3" spans="1:93" x14ac:dyDescent="0.2">
      <c r="A3" t="s">
        <v>20</v>
      </c>
      <c r="B3" t="s">
        <v>21</v>
      </c>
      <c r="D3" t="s">
        <v>29</v>
      </c>
      <c r="E3">
        <v>10.84</v>
      </c>
      <c r="F3">
        <v>9.26</v>
      </c>
      <c r="G3">
        <v>0.86</v>
      </c>
      <c r="H3">
        <v>75.34</v>
      </c>
      <c r="I3">
        <v>61.21</v>
      </c>
      <c r="K3" t="s">
        <v>23</v>
      </c>
      <c r="L3" t="s">
        <v>29</v>
      </c>
      <c r="M3">
        <f t="shared" ref="M3:M48" si="0">AVERAGE(X3,Y3,AM3,AN3,BB3,BC3,BQ4,BR4,CF3,CG3)</f>
        <v>9.9775000000000009</v>
      </c>
      <c r="N3">
        <f t="shared" ref="N3:N48" si="1">AVERAGE(Z3,AA3,AO3,AP3,BD3,BE3,BS4,BT4,CH3,CI3)</f>
        <v>39.98749999999999</v>
      </c>
      <c r="O3">
        <f t="shared" ref="O3:O48" si="2">AVERAGE(AB3,AC3,AQ3,AR3,BF3,BG3,BU3,BV3,CJ3,CK3)</f>
        <v>3.6375000000000002</v>
      </c>
      <c r="P3">
        <f t="shared" ref="P3:P48" si="3">AVERAGE(AD3,AE3,AS3,AT3,BH3,BI3,BW3,BX3,CL3,CM3)</f>
        <v>66.672499999999999</v>
      </c>
      <c r="Q3">
        <f t="shared" ref="Q3:Q48" si="4">AVERAGE(AF3,AG3,AU3,AV3,BJ3,BK3,BY3,BZ3,CN3,CO3)</f>
        <v>68.542500000000004</v>
      </c>
      <c r="T3" t="s">
        <v>30</v>
      </c>
      <c r="U3" t="s">
        <v>31</v>
      </c>
      <c r="V3" t="s">
        <v>31</v>
      </c>
      <c r="W3" t="s">
        <v>29</v>
      </c>
      <c r="X3">
        <v>10.62</v>
      </c>
      <c r="Y3">
        <v>12.88</v>
      </c>
      <c r="Z3">
        <v>72.13</v>
      </c>
      <c r="AA3">
        <v>66.83</v>
      </c>
      <c r="AB3">
        <v>6.79</v>
      </c>
      <c r="AC3">
        <v>5.19</v>
      </c>
      <c r="AD3">
        <v>61.67</v>
      </c>
      <c r="AE3">
        <v>74.680000000000007</v>
      </c>
      <c r="AF3">
        <v>79.459999999999994</v>
      </c>
      <c r="AG3">
        <v>73.56</v>
      </c>
      <c r="AI3" t="s">
        <v>27</v>
      </c>
      <c r="AJ3" t="s">
        <v>28</v>
      </c>
      <c r="AL3" t="s">
        <v>29</v>
      </c>
      <c r="AM3">
        <v>8.84</v>
      </c>
      <c r="AN3">
        <v>7.57</v>
      </c>
      <c r="AO3">
        <v>10.45</v>
      </c>
      <c r="AP3">
        <v>10.54</v>
      </c>
      <c r="AQ3">
        <v>1.18</v>
      </c>
      <c r="AR3">
        <v>1.39</v>
      </c>
      <c r="AS3">
        <v>68.819999999999993</v>
      </c>
      <c r="AT3">
        <v>61.52</v>
      </c>
      <c r="AU3">
        <v>58.52</v>
      </c>
      <c r="AV3">
        <v>62.63</v>
      </c>
    </row>
    <row r="4" spans="1:93" x14ac:dyDescent="0.2">
      <c r="A4" t="s">
        <v>20</v>
      </c>
      <c r="B4" t="s">
        <v>21</v>
      </c>
      <c r="D4" t="s">
        <v>32</v>
      </c>
      <c r="E4">
        <v>232.61</v>
      </c>
      <c r="F4">
        <v>70.650000000000006</v>
      </c>
      <c r="G4">
        <v>0.41</v>
      </c>
      <c r="H4">
        <v>440.31</v>
      </c>
      <c r="I4">
        <v>122.85</v>
      </c>
      <c r="K4" t="s">
        <v>23</v>
      </c>
      <c r="L4" t="s">
        <v>32</v>
      </c>
      <c r="M4">
        <f t="shared" si="0"/>
        <v>2.1845343507499999</v>
      </c>
      <c r="N4">
        <f t="shared" si="1"/>
        <v>5.2947890417499996</v>
      </c>
      <c r="O4">
        <f t="shared" si="2"/>
        <v>2.8487965839999996</v>
      </c>
      <c r="P4">
        <f t="shared" si="3"/>
        <v>44.474265700000004</v>
      </c>
      <c r="Q4">
        <f t="shared" si="4"/>
        <v>22.685420643500002</v>
      </c>
      <c r="T4" t="s">
        <v>33</v>
      </c>
      <c r="U4" t="s">
        <v>34</v>
      </c>
      <c r="V4" t="s">
        <v>35</v>
      </c>
      <c r="W4" t="s">
        <v>32</v>
      </c>
      <c r="X4">
        <v>1.4185857230000001</v>
      </c>
      <c r="Y4">
        <v>3.6395516799999998</v>
      </c>
      <c r="Z4">
        <v>1.706273444</v>
      </c>
      <c r="AA4">
        <v>1.6828827230000001</v>
      </c>
      <c r="AB4">
        <v>1.202798968</v>
      </c>
      <c r="AC4">
        <v>0.46238736800000002</v>
      </c>
      <c r="AD4">
        <v>35.451321810000003</v>
      </c>
      <c r="AE4">
        <v>38.445740989999997</v>
      </c>
      <c r="AF4">
        <v>4.1287761359999999</v>
      </c>
      <c r="AG4">
        <v>3.612906438</v>
      </c>
      <c r="AI4" t="s">
        <v>36</v>
      </c>
      <c r="AJ4" t="s">
        <v>35</v>
      </c>
      <c r="AK4" t="s">
        <v>34</v>
      </c>
      <c r="AL4" t="s">
        <v>32</v>
      </c>
      <c r="AM4">
        <v>1.67</v>
      </c>
      <c r="AN4">
        <v>2.0099999999999998</v>
      </c>
      <c r="AO4">
        <v>8.7899999999999991</v>
      </c>
      <c r="AP4">
        <v>9</v>
      </c>
      <c r="AQ4">
        <v>5.26</v>
      </c>
      <c r="AR4">
        <v>4.47</v>
      </c>
      <c r="AS4">
        <v>52</v>
      </c>
      <c r="AT4">
        <v>52</v>
      </c>
      <c r="AU4">
        <v>41</v>
      </c>
      <c r="AV4">
        <v>42</v>
      </c>
    </row>
    <row r="5" spans="1:93" x14ac:dyDescent="0.2">
      <c r="A5" t="s">
        <v>20</v>
      </c>
      <c r="B5" t="s">
        <v>21</v>
      </c>
      <c r="D5" t="s">
        <v>37</v>
      </c>
      <c r="E5" t="e">
        <v>#VALUE!</v>
      </c>
      <c r="F5" t="e">
        <v>#VALUE!</v>
      </c>
      <c r="G5" t="e">
        <v>#VALUE!</v>
      </c>
      <c r="H5" t="e">
        <v>#VALUE!</v>
      </c>
      <c r="I5" t="e">
        <v>#VALUE!</v>
      </c>
      <c r="K5" t="s">
        <v>23</v>
      </c>
      <c r="L5" t="s">
        <v>37</v>
      </c>
      <c r="M5">
        <f t="shared" si="0"/>
        <v>1.53</v>
      </c>
      <c r="N5">
        <f t="shared" si="1"/>
        <v>12.405000000000001</v>
      </c>
      <c r="O5">
        <f t="shared" si="2"/>
        <v>11.36</v>
      </c>
      <c r="P5">
        <f t="shared" si="3"/>
        <v>58</v>
      </c>
      <c r="Q5">
        <f t="shared" si="4"/>
        <v>67</v>
      </c>
      <c r="T5" t="s">
        <v>27</v>
      </c>
      <c r="U5" t="s">
        <v>28</v>
      </c>
      <c r="W5" t="s">
        <v>37</v>
      </c>
      <c r="X5" t="s">
        <v>274</v>
      </c>
      <c r="Y5" t="s">
        <v>274</v>
      </c>
      <c r="Z5" t="s">
        <v>274</v>
      </c>
      <c r="AA5" t="s">
        <v>274</v>
      </c>
      <c r="AB5" t="s">
        <v>274</v>
      </c>
      <c r="AC5" t="s">
        <v>274</v>
      </c>
      <c r="AD5" t="s">
        <v>274</v>
      </c>
      <c r="AE5" t="s">
        <v>274</v>
      </c>
      <c r="AF5" t="s">
        <v>274</v>
      </c>
      <c r="AG5" t="s">
        <v>274</v>
      </c>
      <c r="AI5" t="s">
        <v>24</v>
      </c>
      <c r="AJ5" t="s">
        <v>25</v>
      </c>
      <c r="AK5" t="s">
        <v>26</v>
      </c>
      <c r="AL5" t="s">
        <v>37</v>
      </c>
      <c r="AM5">
        <v>0.66</v>
      </c>
      <c r="AN5">
        <v>2.4</v>
      </c>
      <c r="AO5">
        <v>11.23</v>
      </c>
      <c r="AP5">
        <v>13.58</v>
      </c>
      <c r="AQ5">
        <v>17.05</v>
      </c>
      <c r="AR5">
        <v>5.67</v>
      </c>
      <c r="AS5">
        <v>58</v>
      </c>
      <c r="AT5">
        <v>58</v>
      </c>
      <c r="AU5">
        <v>61</v>
      </c>
      <c r="AV5">
        <v>73</v>
      </c>
    </row>
    <row r="6" spans="1:93" x14ac:dyDescent="0.2">
      <c r="A6" t="s">
        <v>20</v>
      </c>
      <c r="B6" t="s">
        <v>21</v>
      </c>
      <c r="C6" t="s">
        <v>38</v>
      </c>
      <c r="E6">
        <v>13.03</v>
      </c>
      <c r="F6">
        <v>13.02</v>
      </c>
      <c r="G6">
        <v>1.03</v>
      </c>
      <c r="H6">
        <v>54.5</v>
      </c>
      <c r="I6">
        <v>67.05</v>
      </c>
      <c r="K6" t="s">
        <v>23</v>
      </c>
      <c r="M6" t="e">
        <f t="shared" si="0"/>
        <v>#DIV/0!</v>
      </c>
      <c r="N6" t="e">
        <f t="shared" si="1"/>
        <v>#DIV/0!</v>
      </c>
      <c r="O6" t="e">
        <f t="shared" si="2"/>
        <v>#DIV/0!</v>
      </c>
      <c r="P6" t="e">
        <f t="shared" si="3"/>
        <v>#DIV/0!</v>
      </c>
      <c r="Q6" t="e">
        <f t="shared" si="4"/>
        <v>#DIV/0!</v>
      </c>
    </row>
    <row r="7" spans="1:93" x14ac:dyDescent="0.2">
      <c r="A7" t="s">
        <v>20</v>
      </c>
      <c r="B7" t="s">
        <v>21</v>
      </c>
      <c r="C7" t="s">
        <v>39</v>
      </c>
      <c r="E7">
        <v>40.79</v>
      </c>
      <c r="F7">
        <v>11.89</v>
      </c>
      <c r="G7">
        <v>0.28999999999999998</v>
      </c>
      <c r="H7">
        <v>117.34</v>
      </c>
      <c r="I7">
        <v>64.5</v>
      </c>
      <c r="K7" t="s">
        <v>23</v>
      </c>
      <c r="M7" t="e">
        <f t="shared" si="0"/>
        <v>#DIV/0!</v>
      </c>
      <c r="N7" t="e">
        <f t="shared" si="1"/>
        <v>#DIV/0!</v>
      </c>
      <c r="O7" t="e">
        <f t="shared" si="2"/>
        <v>#DIV/0!</v>
      </c>
      <c r="P7" t="e">
        <f t="shared" si="3"/>
        <v>#DIV/0!</v>
      </c>
      <c r="Q7" t="e">
        <f t="shared" si="4"/>
        <v>#DIV/0!</v>
      </c>
    </row>
    <row r="8" spans="1:93" x14ac:dyDescent="0.2">
      <c r="A8" t="s">
        <v>20</v>
      </c>
      <c r="B8" t="s">
        <v>21</v>
      </c>
      <c r="D8" t="s">
        <v>40</v>
      </c>
      <c r="E8" t="e">
        <v>#VALUE!</v>
      </c>
      <c r="F8">
        <v>0.19</v>
      </c>
      <c r="G8" t="e">
        <v>#VALUE!</v>
      </c>
      <c r="H8" t="e">
        <v>#VALUE!</v>
      </c>
      <c r="I8">
        <v>54.96</v>
      </c>
      <c r="K8" t="s">
        <v>23</v>
      </c>
      <c r="L8" t="s">
        <v>40</v>
      </c>
      <c r="M8">
        <f t="shared" si="0"/>
        <v>0.14351158850000001</v>
      </c>
      <c r="N8">
        <f t="shared" si="1"/>
        <v>7.0816267500000002E-2</v>
      </c>
      <c r="O8">
        <f t="shared" si="2"/>
        <v>0.55308872050000002</v>
      </c>
      <c r="P8">
        <f t="shared" si="3"/>
        <v>78.813519310000004</v>
      </c>
      <c r="Q8">
        <f t="shared" si="4"/>
        <v>33.223766769999997</v>
      </c>
      <c r="T8" t="s">
        <v>41</v>
      </c>
      <c r="V8" t="s">
        <v>42</v>
      </c>
      <c r="W8" t="s">
        <v>40</v>
      </c>
      <c r="X8">
        <v>0.172175569</v>
      </c>
      <c r="Y8">
        <v>0.114847608</v>
      </c>
      <c r="Z8">
        <v>4.3820893999999999E-2</v>
      </c>
      <c r="AA8">
        <v>9.7811641000000005E-2</v>
      </c>
      <c r="AB8">
        <v>0.25451284699999999</v>
      </c>
      <c r="AC8">
        <v>0.85166459400000005</v>
      </c>
      <c r="AD8">
        <v>78.913090510000004</v>
      </c>
      <c r="AE8">
        <v>78.713948110000004</v>
      </c>
      <c r="AF8">
        <v>34.463638869999997</v>
      </c>
      <c r="AG8">
        <v>31.983894670000002</v>
      </c>
    </row>
    <row r="9" spans="1:93" x14ac:dyDescent="0.2">
      <c r="A9" t="s">
        <v>20</v>
      </c>
      <c r="B9" t="s">
        <v>21</v>
      </c>
      <c r="D9" t="s">
        <v>43</v>
      </c>
      <c r="E9" t="e">
        <v>#VALUE!</v>
      </c>
      <c r="F9">
        <v>5.68</v>
      </c>
      <c r="G9" t="e">
        <v>#VALUE!</v>
      </c>
      <c r="H9" t="e">
        <v>#VALUE!</v>
      </c>
      <c r="I9">
        <v>66.540000000000006</v>
      </c>
      <c r="K9" t="s">
        <v>23</v>
      </c>
      <c r="L9" t="s">
        <v>43</v>
      </c>
      <c r="M9">
        <f t="shared" si="0"/>
        <v>0.60499999999999998</v>
      </c>
      <c r="N9">
        <f t="shared" si="1"/>
        <v>5.7050000000000001</v>
      </c>
      <c r="O9">
        <f t="shared" si="2"/>
        <v>9.375</v>
      </c>
      <c r="P9">
        <f t="shared" si="3"/>
        <v>73</v>
      </c>
      <c r="Q9">
        <f t="shared" si="4"/>
        <v>48</v>
      </c>
      <c r="T9" t="s">
        <v>24</v>
      </c>
      <c r="U9" t="s">
        <v>25</v>
      </c>
      <c r="V9" t="s">
        <v>26</v>
      </c>
      <c r="W9" t="s">
        <v>43</v>
      </c>
      <c r="X9">
        <v>0.57999999999999996</v>
      </c>
      <c r="Y9">
        <v>0.63</v>
      </c>
      <c r="Z9">
        <v>5.2</v>
      </c>
      <c r="AA9">
        <v>6.21</v>
      </c>
      <c r="AB9">
        <v>8.9</v>
      </c>
      <c r="AC9">
        <v>9.85</v>
      </c>
      <c r="AD9">
        <v>73</v>
      </c>
      <c r="AE9">
        <v>73</v>
      </c>
      <c r="AF9">
        <v>51</v>
      </c>
      <c r="AG9">
        <v>45</v>
      </c>
      <c r="AI9" t="s">
        <v>27</v>
      </c>
      <c r="AJ9" t="s">
        <v>28</v>
      </c>
      <c r="AL9" t="s">
        <v>43</v>
      </c>
      <c r="AM9" t="s">
        <v>274</v>
      </c>
      <c r="AN9" t="s">
        <v>274</v>
      </c>
      <c r="AO9" t="s">
        <v>274</v>
      </c>
      <c r="AP9" t="s">
        <v>274</v>
      </c>
      <c r="AQ9" t="s">
        <v>274</v>
      </c>
      <c r="AR9" t="s">
        <v>274</v>
      </c>
      <c r="AS9" t="s">
        <v>274</v>
      </c>
      <c r="AT9" t="s">
        <v>274</v>
      </c>
      <c r="AU9" t="s">
        <v>274</v>
      </c>
      <c r="AV9" t="s">
        <v>274</v>
      </c>
    </row>
    <row r="10" spans="1:93" x14ac:dyDescent="0.2">
      <c r="A10" t="s">
        <v>20</v>
      </c>
      <c r="B10" t="s">
        <v>21</v>
      </c>
      <c r="D10" t="s">
        <v>44</v>
      </c>
      <c r="E10">
        <v>1.79</v>
      </c>
      <c r="F10">
        <v>1.87</v>
      </c>
      <c r="G10">
        <v>1.05</v>
      </c>
      <c r="H10">
        <v>38.799999999999997</v>
      </c>
      <c r="I10">
        <v>71.7</v>
      </c>
      <c r="K10" t="s">
        <v>23</v>
      </c>
      <c r="L10" t="s">
        <v>44</v>
      </c>
      <c r="M10">
        <f t="shared" si="0"/>
        <v>0.33999999999999997</v>
      </c>
      <c r="N10">
        <f t="shared" si="1"/>
        <v>1.32</v>
      </c>
      <c r="O10">
        <f t="shared" si="2"/>
        <v>3.9050000000000002</v>
      </c>
      <c r="P10">
        <f t="shared" si="3"/>
        <v>65.5</v>
      </c>
      <c r="Q10">
        <f t="shared" si="4"/>
        <v>59.5</v>
      </c>
      <c r="T10" t="s">
        <v>36</v>
      </c>
      <c r="U10" t="s">
        <v>45</v>
      </c>
      <c r="V10" t="s">
        <v>46</v>
      </c>
      <c r="W10" t="s">
        <v>44</v>
      </c>
      <c r="X10">
        <v>0.31</v>
      </c>
      <c r="Y10">
        <v>0.37</v>
      </c>
      <c r="Z10">
        <v>1.32</v>
      </c>
      <c r="AA10">
        <v>1.32</v>
      </c>
      <c r="AB10">
        <v>4.24</v>
      </c>
      <c r="AC10">
        <v>3.57</v>
      </c>
      <c r="AD10">
        <v>63</v>
      </c>
      <c r="AE10">
        <v>68</v>
      </c>
      <c r="AF10">
        <v>60</v>
      </c>
      <c r="AG10">
        <v>59</v>
      </c>
    </row>
    <row r="11" spans="1:93" x14ac:dyDescent="0.2">
      <c r="A11" t="s">
        <v>20</v>
      </c>
      <c r="B11" t="s">
        <v>21</v>
      </c>
      <c r="D11" t="s">
        <v>47</v>
      </c>
      <c r="E11">
        <v>13.49</v>
      </c>
      <c r="F11">
        <v>9.74</v>
      </c>
      <c r="G11">
        <v>0.74</v>
      </c>
      <c r="H11">
        <v>73.58</v>
      </c>
      <c r="I11">
        <v>67.97</v>
      </c>
      <c r="K11" t="s">
        <v>23</v>
      </c>
      <c r="L11" t="s">
        <v>47</v>
      </c>
      <c r="M11">
        <f t="shared" si="0"/>
        <v>18.484999999999999</v>
      </c>
      <c r="N11">
        <f t="shared" si="1"/>
        <v>23.795000000000002</v>
      </c>
      <c r="O11">
        <f t="shared" si="2"/>
        <v>1.2850000000000001</v>
      </c>
      <c r="P11">
        <f t="shared" si="3"/>
        <v>97</v>
      </c>
      <c r="Q11">
        <f t="shared" si="4"/>
        <v>81.5</v>
      </c>
      <c r="T11" t="s">
        <v>48</v>
      </c>
      <c r="U11" t="s">
        <v>49</v>
      </c>
      <c r="V11" t="s">
        <v>50</v>
      </c>
      <c r="W11" t="s">
        <v>47</v>
      </c>
      <c r="X11">
        <v>17.23</v>
      </c>
      <c r="Y11">
        <v>19.739999999999998</v>
      </c>
      <c r="Z11">
        <v>20.84</v>
      </c>
      <c r="AA11">
        <v>26.75</v>
      </c>
      <c r="AB11">
        <v>1.21</v>
      </c>
      <c r="AC11">
        <v>1.36</v>
      </c>
      <c r="AD11">
        <v>89</v>
      </c>
      <c r="AE11">
        <v>105</v>
      </c>
      <c r="AF11">
        <v>77</v>
      </c>
      <c r="AG11">
        <v>86</v>
      </c>
    </row>
    <row r="12" spans="1:93" x14ac:dyDescent="0.2">
      <c r="A12" t="s">
        <v>20</v>
      </c>
      <c r="B12" t="s">
        <v>21</v>
      </c>
      <c r="D12" t="s">
        <v>51</v>
      </c>
      <c r="E12">
        <v>9.18</v>
      </c>
      <c r="F12">
        <v>17.670000000000002</v>
      </c>
      <c r="G12">
        <v>2.0099999999999998</v>
      </c>
      <c r="H12">
        <v>96.04</v>
      </c>
      <c r="I12">
        <v>76.37</v>
      </c>
      <c r="K12" t="s">
        <v>23</v>
      </c>
      <c r="L12" t="s">
        <v>51</v>
      </c>
      <c r="M12">
        <f t="shared" si="0"/>
        <v>5.96</v>
      </c>
      <c r="N12">
        <f t="shared" si="1"/>
        <v>17.149764630000004</v>
      </c>
      <c r="O12">
        <f t="shared" si="2"/>
        <v>2.939827578333333</v>
      </c>
      <c r="P12">
        <f t="shared" si="3"/>
        <v>75.333333333333329</v>
      </c>
      <c r="Q12">
        <f t="shared" si="4"/>
        <v>74.666666666666671</v>
      </c>
      <c r="T12" t="s">
        <v>52</v>
      </c>
      <c r="U12" t="s">
        <v>53</v>
      </c>
      <c r="V12" t="s">
        <v>54</v>
      </c>
      <c r="W12" t="s">
        <v>51</v>
      </c>
      <c r="X12">
        <v>8.15</v>
      </c>
      <c r="Y12">
        <v>7.94</v>
      </c>
      <c r="Z12">
        <v>21.72</v>
      </c>
      <c r="AA12">
        <v>19.399999999999999</v>
      </c>
      <c r="AB12">
        <v>2.66</v>
      </c>
      <c r="AC12">
        <v>2.44</v>
      </c>
      <c r="AD12">
        <v>79</v>
      </c>
      <c r="AE12">
        <v>69</v>
      </c>
      <c r="AF12">
        <v>88</v>
      </c>
      <c r="AG12">
        <v>87</v>
      </c>
      <c r="AI12" t="s">
        <v>55</v>
      </c>
      <c r="AJ12" t="s">
        <v>53</v>
      </c>
      <c r="AK12" t="s">
        <v>56</v>
      </c>
      <c r="AL12" t="s">
        <v>51</v>
      </c>
      <c r="AM12">
        <v>3.87</v>
      </c>
      <c r="AN12">
        <v>4.63</v>
      </c>
      <c r="AO12">
        <v>12.66</v>
      </c>
      <c r="AP12">
        <v>13.01</v>
      </c>
      <c r="AQ12">
        <v>3.27</v>
      </c>
      <c r="AR12">
        <v>2.81</v>
      </c>
      <c r="AS12">
        <v>65</v>
      </c>
      <c r="AT12">
        <v>57</v>
      </c>
      <c r="AU12">
        <v>55</v>
      </c>
      <c r="AV12">
        <v>55</v>
      </c>
      <c r="AX12" t="s">
        <v>57</v>
      </c>
      <c r="BA12" t="s">
        <v>51</v>
      </c>
      <c r="BB12">
        <v>5.67</v>
      </c>
      <c r="BC12">
        <v>5.5</v>
      </c>
      <c r="BD12">
        <v>18.3846208</v>
      </c>
      <c r="BE12">
        <v>17.72396698</v>
      </c>
      <c r="BF12">
        <v>3.2450412360000001</v>
      </c>
      <c r="BG12">
        <v>3.2139242339999998</v>
      </c>
      <c r="BH12">
        <v>87.8</v>
      </c>
      <c r="BI12">
        <v>94.2</v>
      </c>
      <c r="BJ12">
        <v>82</v>
      </c>
      <c r="BK12">
        <v>81</v>
      </c>
    </row>
    <row r="13" spans="1:93" x14ac:dyDescent="0.2">
      <c r="A13" t="s">
        <v>20</v>
      </c>
      <c r="B13" t="s">
        <v>21</v>
      </c>
      <c r="D13" t="s">
        <v>58</v>
      </c>
      <c r="E13" t="e">
        <v>#VALUE!</v>
      </c>
      <c r="F13">
        <v>4.6100000000000003</v>
      </c>
      <c r="G13" t="e">
        <v>#VALUE!</v>
      </c>
      <c r="H13" t="e">
        <v>#VALUE!</v>
      </c>
      <c r="I13">
        <v>76.02</v>
      </c>
      <c r="K13" t="s">
        <v>23</v>
      </c>
      <c r="L13" t="s">
        <v>58</v>
      </c>
      <c r="M13">
        <f t="shared" si="0"/>
        <v>7.3666666666666663</v>
      </c>
      <c r="N13">
        <f t="shared" si="1"/>
        <v>11.155000000000001</v>
      </c>
      <c r="O13">
        <f t="shared" si="2"/>
        <v>1.4533333333333331</v>
      </c>
      <c r="P13">
        <f t="shared" si="3"/>
        <v>80.260000000000005</v>
      </c>
      <c r="Q13">
        <f t="shared" si="4"/>
        <v>67.983333333333334</v>
      </c>
      <c r="T13" t="s">
        <v>24</v>
      </c>
      <c r="U13" t="s">
        <v>25</v>
      </c>
      <c r="V13" t="s">
        <v>26</v>
      </c>
      <c r="W13" t="s">
        <v>58</v>
      </c>
      <c r="X13">
        <v>10.31</v>
      </c>
      <c r="Y13">
        <v>9.08</v>
      </c>
      <c r="Z13">
        <v>21.32</v>
      </c>
      <c r="AA13">
        <v>21.24</v>
      </c>
      <c r="AB13">
        <v>2.0699999999999998</v>
      </c>
      <c r="AC13">
        <v>2.34</v>
      </c>
      <c r="AD13">
        <v>84</v>
      </c>
      <c r="AE13">
        <v>77</v>
      </c>
      <c r="AF13">
        <v>67</v>
      </c>
      <c r="AG13">
        <v>68</v>
      </c>
      <c r="AI13" t="s">
        <v>48</v>
      </c>
      <c r="AJ13" t="s">
        <v>59</v>
      </c>
      <c r="AK13" t="s">
        <v>60</v>
      </c>
      <c r="AL13" t="s">
        <v>58</v>
      </c>
      <c r="AM13">
        <v>9.98</v>
      </c>
      <c r="AN13">
        <v>4.84</v>
      </c>
      <c r="AO13">
        <v>6.62</v>
      </c>
      <c r="AP13">
        <v>6.53</v>
      </c>
      <c r="AQ13">
        <v>0.66</v>
      </c>
      <c r="AR13">
        <v>1.35</v>
      </c>
      <c r="AS13">
        <v>84</v>
      </c>
      <c r="AT13">
        <v>80</v>
      </c>
      <c r="AU13">
        <v>70</v>
      </c>
      <c r="AV13">
        <v>67</v>
      </c>
      <c r="AX13" t="s">
        <v>27</v>
      </c>
      <c r="AY13" t="s">
        <v>28</v>
      </c>
      <c r="BA13" t="s">
        <v>58</v>
      </c>
      <c r="BB13">
        <v>4.34</v>
      </c>
      <c r="BC13">
        <v>5.65</v>
      </c>
      <c r="BD13">
        <v>5.86</v>
      </c>
      <c r="BE13">
        <v>5.36</v>
      </c>
      <c r="BF13">
        <v>1.35</v>
      </c>
      <c r="BG13">
        <v>0.95</v>
      </c>
      <c r="BH13">
        <v>70.540000000000006</v>
      </c>
      <c r="BI13">
        <v>86.02</v>
      </c>
      <c r="BJ13">
        <v>69.83</v>
      </c>
      <c r="BK13">
        <v>66.069999999999993</v>
      </c>
    </row>
    <row r="14" spans="1:93" x14ac:dyDescent="0.2">
      <c r="A14" t="s">
        <v>20</v>
      </c>
      <c r="B14" t="s">
        <v>21</v>
      </c>
      <c r="D14" t="s">
        <v>61</v>
      </c>
      <c r="E14" t="e">
        <v>#VALUE!</v>
      </c>
      <c r="F14" t="e">
        <v>#VALUE!</v>
      </c>
      <c r="G14" t="e">
        <v>#VALUE!</v>
      </c>
      <c r="H14" t="e">
        <v>#VALUE!</v>
      </c>
      <c r="I14" t="e">
        <v>#VALUE!</v>
      </c>
      <c r="K14" t="s">
        <v>23</v>
      </c>
      <c r="L14" t="s">
        <v>61</v>
      </c>
      <c r="M14">
        <f t="shared" si="0"/>
        <v>1.0249999999999999</v>
      </c>
      <c r="N14">
        <f t="shared" si="1"/>
        <v>59.44</v>
      </c>
      <c r="O14">
        <f t="shared" si="2"/>
        <v>60.989999999999995</v>
      </c>
      <c r="P14">
        <f t="shared" si="3"/>
        <v>58.92</v>
      </c>
      <c r="Q14">
        <f t="shared" si="4"/>
        <v>64.599999999999994</v>
      </c>
      <c r="T14" t="s">
        <v>30</v>
      </c>
      <c r="U14" t="s">
        <v>31</v>
      </c>
      <c r="V14" t="s">
        <v>31</v>
      </c>
      <c r="W14" t="s">
        <v>61</v>
      </c>
      <c r="X14">
        <v>0.85</v>
      </c>
      <c r="Y14">
        <v>1.2</v>
      </c>
      <c r="Z14">
        <v>67.599999999999994</v>
      </c>
      <c r="AA14">
        <v>51.28</v>
      </c>
      <c r="AB14">
        <v>79.069999999999993</v>
      </c>
      <c r="AC14">
        <v>42.91</v>
      </c>
      <c r="AD14">
        <v>55.48</v>
      </c>
      <c r="AE14">
        <v>62.36</v>
      </c>
      <c r="AF14">
        <v>68.08</v>
      </c>
      <c r="AG14">
        <v>61.12</v>
      </c>
    </row>
    <row r="15" spans="1:93" x14ac:dyDescent="0.2">
      <c r="A15" t="s">
        <v>20</v>
      </c>
      <c r="B15" t="s">
        <v>21</v>
      </c>
      <c r="D15" t="s">
        <v>62</v>
      </c>
      <c r="E15">
        <v>204</v>
      </c>
      <c r="F15">
        <v>98.64</v>
      </c>
      <c r="G15">
        <v>0.44</v>
      </c>
      <c r="H15">
        <v>356.19</v>
      </c>
      <c r="I15">
        <v>189.18</v>
      </c>
      <c r="K15" t="s">
        <v>23</v>
      </c>
      <c r="L15" t="s">
        <v>62</v>
      </c>
      <c r="M15" t="e">
        <f t="shared" si="0"/>
        <v>#DIV/0!</v>
      </c>
      <c r="N15" t="e">
        <f t="shared" si="1"/>
        <v>#DIV/0!</v>
      </c>
      <c r="O15" t="e">
        <f t="shared" si="2"/>
        <v>#DIV/0!</v>
      </c>
      <c r="P15" t="e">
        <f t="shared" si="3"/>
        <v>#DIV/0!</v>
      </c>
      <c r="Q15" t="e">
        <f t="shared" si="4"/>
        <v>#DIV/0!</v>
      </c>
      <c r="T15" t="s">
        <v>64</v>
      </c>
      <c r="U15" t="s">
        <v>45</v>
      </c>
      <c r="V15" t="s">
        <v>65</v>
      </c>
      <c r="W15" t="s">
        <v>62</v>
      </c>
      <c r="X15" t="s">
        <v>274</v>
      </c>
      <c r="Y15" t="s">
        <v>274</v>
      </c>
      <c r="Z15" t="s">
        <v>274</v>
      </c>
      <c r="AA15" t="s">
        <v>274</v>
      </c>
      <c r="AB15" t="s">
        <v>274</v>
      </c>
      <c r="AC15" t="s">
        <v>274</v>
      </c>
      <c r="AD15" t="s">
        <v>274</v>
      </c>
      <c r="AE15" t="s">
        <v>274</v>
      </c>
      <c r="AF15" t="s">
        <v>274</v>
      </c>
      <c r="AG15" t="s">
        <v>274</v>
      </c>
    </row>
    <row r="16" spans="1:93" x14ac:dyDescent="0.2">
      <c r="A16" t="s">
        <v>20</v>
      </c>
      <c r="B16" t="s">
        <v>21</v>
      </c>
      <c r="C16" t="s">
        <v>66</v>
      </c>
      <c r="E16" t="e">
        <v>#VALUE!</v>
      </c>
      <c r="F16">
        <v>2.96</v>
      </c>
      <c r="G16" t="e">
        <v>#VALUE!</v>
      </c>
      <c r="H16">
        <v>77.59</v>
      </c>
      <c r="I16">
        <v>67.7</v>
      </c>
      <c r="K16" t="s">
        <v>23</v>
      </c>
      <c r="M16" t="e">
        <f t="shared" si="0"/>
        <v>#DIV/0!</v>
      </c>
      <c r="N16" t="e">
        <f t="shared" si="1"/>
        <v>#DIV/0!</v>
      </c>
      <c r="O16" t="e">
        <f t="shared" si="2"/>
        <v>#DIV/0!</v>
      </c>
      <c r="P16" t="e">
        <f t="shared" si="3"/>
        <v>#DIV/0!</v>
      </c>
      <c r="Q16" t="e">
        <f t="shared" si="4"/>
        <v>#DIV/0!</v>
      </c>
    </row>
    <row r="17" spans="1:33" x14ac:dyDescent="0.2">
      <c r="A17" t="s">
        <v>20</v>
      </c>
      <c r="B17" t="s">
        <v>21</v>
      </c>
      <c r="D17" t="s">
        <v>67</v>
      </c>
      <c r="E17">
        <v>12.57</v>
      </c>
      <c r="F17">
        <v>15.63</v>
      </c>
      <c r="G17">
        <v>1.24</v>
      </c>
      <c r="H17">
        <v>91.9</v>
      </c>
      <c r="I17">
        <v>67.650000000000006</v>
      </c>
      <c r="K17" t="s">
        <v>23</v>
      </c>
      <c r="L17" t="s">
        <v>67</v>
      </c>
      <c r="M17">
        <f t="shared" si="0"/>
        <v>3.625</v>
      </c>
      <c r="N17">
        <f t="shared" si="1"/>
        <v>11.245000000000001</v>
      </c>
      <c r="O17">
        <f t="shared" si="2"/>
        <v>3.12</v>
      </c>
      <c r="P17">
        <f t="shared" si="3"/>
        <v>64.5</v>
      </c>
      <c r="Q17">
        <f t="shared" si="4"/>
        <v>57</v>
      </c>
      <c r="T17" t="s">
        <v>64</v>
      </c>
      <c r="U17" t="s">
        <v>45</v>
      </c>
      <c r="V17" t="s">
        <v>65</v>
      </c>
      <c r="W17" t="s">
        <v>67</v>
      </c>
      <c r="X17">
        <v>3.98</v>
      </c>
      <c r="Y17">
        <v>3.27</v>
      </c>
      <c r="Z17">
        <v>11.69</v>
      </c>
      <c r="AA17">
        <v>10.8</v>
      </c>
      <c r="AB17">
        <v>2.94</v>
      </c>
      <c r="AC17">
        <v>3.3</v>
      </c>
      <c r="AD17">
        <v>72</v>
      </c>
      <c r="AE17">
        <v>57</v>
      </c>
      <c r="AF17">
        <v>58</v>
      </c>
      <c r="AG17">
        <v>56</v>
      </c>
    </row>
    <row r="18" spans="1:33" x14ac:dyDescent="0.2">
      <c r="A18" t="s">
        <v>20</v>
      </c>
      <c r="B18" t="s">
        <v>21</v>
      </c>
      <c r="D18" t="s">
        <v>68</v>
      </c>
      <c r="E18">
        <v>2.46</v>
      </c>
      <c r="F18">
        <v>5.48</v>
      </c>
      <c r="G18">
        <v>2.23</v>
      </c>
      <c r="H18">
        <v>38.18</v>
      </c>
      <c r="I18">
        <v>60.23</v>
      </c>
      <c r="K18" t="s">
        <v>23</v>
      </c>
      <c r="L18" t="s">
        <v>68</v>
      </c>
      <c r="M18">
        <f t="shared" si="0"/>
        <v>0.63</v>
      </c>
      <c r="N18">
        <f t="shared" si="1"/>
        <v>4.6449999999999996</v>
      </c>
      <c r="O18">
        <f t="shared" si="2"/>
        <v>14.979999999999999</v>
      </c>
      <c r="P18">
        <f t="shared" si="3"/>
        <v>50</v>
      </c>
      <c r="Q18">
        <f t="shared" si="4"/>
        <v>56</v>
      </c>
      <c r="T18" t="s">
        <v>64</v>
      </c>
      <c r="U18" t="s">
        <v>45</v>
      </c>
      <c r="V18" t="s">
        <v>65</v>
      </c>
      <c r="W18" t="s">
        <v>68</v>
      </c>
      <c r="X18">
        <v>1.08</v>
      </c>
      <c r="Y18">
        <v>0.18</v>
      </c>
      <c r="Z18">
        <v>4.71</v>
      </c>
      <c r="AA18">
        <v>4.58</v>
      </c>
      <c r="AB18">
        <v>4.38</v>
      </c>
      <c r="AC18">
        <v>25.58</v>
      </c>
      <c r="AD18">
        <v>59</v>
      </c>
      <c r="AE18">
        <v>41</v>
      </c>
      <c r="AF18">
        <v>55</v>
      </c>
      <c r="AG18">
        <v>57</v>
      </c>
    </row>
    <row r="19" spans="1:33" x14ac:dyDescent="0.2">
      <c r="A19" t="s">
        <v>20</v>
      </c>
      <c r="B19" t="s">
        <v>21</v>
      </c>
      <c r="C19" t="s">
        <v>69</v>
      </c>
      <c r="E19">
        <v>3.08</v>
      </c>
      <c r="F19">
        <v>18.39</v>
      </c>
      <c r="G19">
        <v>6.17</v>
      </c>
      <c r="H19">
        <v>54.62</v>
      </c>
      <c r="I19">
        <v>48.59</v>
      </c>
      <c r="K19" t="s">
        <v>23</v>
      </c>
      <c r="M19" t="e">
        <f t="shared" si="0"/>
        <v>#DIV/0!</v>
      </c>
      <c r="N19" t="e">
        <f t="shared" si="1"/>
        <v>#DIV/0!</v>
      </c>
      <c r="O19" t="e">
        <f t="shared" si="2"/>
        <v>#DIV/0!</v>
      </c>
      <c r="P19" t="e">
        <f t="shared" si="3"/>
        <v>#DIV/0!</v>
      </c>
      <c r="Q19" t="e">
        <f t="shared" si="4"/>
        <v>#DIV/0!</v>
      </c>
    </row>
    <row r="20" spans="1:33" x14ac:dyDescent="0.2">
      <c r="A20" t="s">
        <v>20</v>
      </c>
      <c r="B20" t="s">
        <v>21</v>
      </c>
      <c r="D20" t="s">
        <v>70</v>
      </c>
      <c r="E20" t="e">
        <v>#VALUE!</v>
      </c>
      <c r="F20">
        <v>22.45</v>
      </c>
      <c r="G20" t="e">
        <v>#VALUE!</v>
      </c>
      <c r="H20" t="e">
        <v>#VALUE!</v>
      </c>
      <c r="I20">
        <v>67.709999999999994</v>
      </c>
      <c r="K20" t="s">
        <v>23</v>
      </c>
      <c r="L20" t="s">
        <v>70</v>
      </c>
      <c r="M20">
        <f t="shared" si="0"/>
        <v>0.70500000000000007</v>
      </c>
      <c r="N20">
        <f t="shared" si="1"/>
        <v>11.045000000000002</v>
      </c>
      <c r="O20">
        <f t="shared" si="2"/>
        <v>16.3</v>
      </c>
      <c r="P20">
        <f t="shared" si="3"/>
        <v>62.5</v>
      </c>
      <c r="Q20">
        <f t="shared" si="4"/>
        <v>63.5</v>
      </c>
      <c r="T20" t="s">
        <v>64</v>
      </c>
      <c r="U20" t="s">
        <v>45</v>
      </c>
      <c r="V20" t="s">
        <v>65</v>
      </c>
      <c r="W20" t="s">
        <v>70</v>
      </c>
      <c r="X20">
        <v>0.81</v>
      </c>
      <c r="Y20">
        <v>0.6</v>
      </c>
      <c r="Z20">
        <v>9.8800000000000008</v>
      </c>
      <c r="AA20">
        <v>12.21</v>
      </c>
      <c r="AB20">
        <v>12.13</v>
      </c>
      <c r="AC20">
        <v>20.47</v>
      </c>
      <c r="AD20">
        <v>66</v>
      </c>
      <c r="AE20">
        <v>59</v>
      </c>
      <c r="AF20">
        <v>65</v>
      </c>
      <c r="AG20">
        <v>62</v>
      </c>
    </row>
    <row r="21" spans="1:33" x14ac:dyDescent="0.2">
      <c r="A21" t="s">
        <v>20</v>
      </c>
      <c r="B21" t="s">
        <v>21</v>
      </c>
      <c r="D21" t="s">
        <v>71</v>
      </c>
      <c r="E21" t="e">
        <v>#VALUE!</v>
      </c>
      <c r="F21" t="e">
        <v>#VALUE!</v>
      </c>
      <c r="G21" t="e">
        <v>#VALUE!</v>
      </c>
      <c r="H21" t="e">
        <v>#VALUE!</v>
      </c>
      <c r="I21" t="e">
        <v>#VALUE!</v>
      </c>
      <c r="K21" t="s">
        <v>23</v>
      </c>
      <c r="L21" t="s">
        <v>71</v>
      </c>
      <c r="M21">
        <f t="shared" si="0"/>
        <v>0.13</v>
      </c>
      <c r="N21">
        <f t="shared" si="1"/>
        <v>0.02</v>
      </c>
      <c r="O21">
        <f t="shared" si="2"/>
        <v>0.16</v>
      </c>
      <c r="P21">
        <f t="shared" si="3"/>
        <v>13.5</v>
      </c>
      <c r="Q21">
        <f t="shared" si="4"/>
        <v>13</v>
      </c>
      <c r="T21" t="s">
        <v>36</v>
      </c>
      <c r="U21" t="s">
        <v>45</v>
      </c>
      <c r="V21" t="s">
        <v>46</v>
      </c>
      <c r="W21" t="s">
        <v>71</v>
      </c>
      <c r="X21">
        <v>0.1</v>
      </c>
      <c r="Y21">
        <v>0.16</v>
      </c>
      <c r="Z21">
        <v>0.02</v>
      </c>
      <c r="AA21">
        <v>0.02</v>
      </c>
      <c r="AB21">
        <v>0.22</v>
      </c>
      <c r="AC21">
        <v>0.1</v>
      </c>
      <c r="AD21">
        <v>14</v>
      </c>
      <c r="AE21">
        <v>13</v>
      </c>
      <c r="AF21">
        <v>12</v>
      </c>
      <c r="AG21">
        <v>14</v>
      </c>
    </row>
    <row r="22" spans="1:33" x14ac:dyDescent="0.2">
      <c r="A22" t="s">
        <v>20</v>
      </c>
      <c r="B22" t="s">
        <v>21</v>
      </c>
      <c r="D22" t="s">
        <v>72</v>
      </c>
      <c r="E22" t="e">
        <v>#VALUE!</v>
      </c>
      <c r="F22">
        <v>5.66</v>
      </c>
      <c r="G22" t="e">
        <v>#VALUE!</v>
      </c>
      <c r="H22" t="e">
        <v>#VALUE!</v>
      </c>
      <c r="I22">
        <v>54.61</v>
      </c>
      <c r="K22" t="s">
        <v>23</v>
      </c>
      <c r="L22" t="s">
        <v>72</v>
      </c>
      <c r="M22">
        <f t="shared" si="0"/>
        <v>2.2549999999999999</v>
      </c>
      <c r="N22">
        <f t="shared" si="1"/>
        <v>7.0350000000000001</v>
      </c>
      <c r="O22">
        <f t="shared" si="2"/>
        <v>3.1150000000000002</v>
      </c>
      <c r="P22">
        <f t="shared" si="3"/>
        <v>72.5</v>
      </c>
      <c r="Q22">
        <f t="shared" si="4"/>
        <v>52.5</v>
      </c>
      <c r="T22" t="s">
        <v>36</v>
      </c>
      <c r="U22" t="s">
        <v>45</v>
      </c>
      <c r="V22" t="s">
        <v>46</v>
      </c>
      <c r="W22" t="s">
        <v>72</v>
      </c>
      <c r="X22">
        <v>2.23</v>
      </c>
      <c r="Y22">
        <v>2.2799999999999998</v>
      </c>
      <c r="Z22">
        <v>6.35</v>
      </c>
      <c r="AA22">
        <v>7.72</v>
      </c>
      <c r="AB22">
        <v>2.84</v>
      </c>
      <c r="AC22">
        <v>3.39</v>
      </c>
      <c r="AD22">
        <v>71</v>
      </c>
      <c r="AE22">
        <v>74</v>
      </c>
      <c r="AF22">
        <v>47</v>
      </c>
      <c r="AG22">
        <v>58</v>
      </c>
    </row>
    <row r="23" spans="1:33" x14ac:dyDescent="0.2">
      <c r="A23" t="s">
        <v>20</v>
      </c>
      <c r="B23" t="s">
        <v>21</v>
      </c>
      <c r="D23" t="s">
        <v>73</v>
      </c>
      <c r="E23" t="e">
        <v>#VALUE!</v>
      </c>
      <c r="F23">
        <v>7.68</v>
      </c>
      <c r="G23" t="e">
        <v>#VALUE!</v>
      </c>
      <c r="H23" t="e">
        <v>#VALUE!</v>
      </c>
      <c r="I23">
        <v>52.32</v>
      </c>
      <c r="K23" t="s">
        <v>23</v>
      </c>
      <c r="L23" t="s">
        <v>73</v>
      </c>
      <c r="M23">
        <f t="shared" si="0"/>
        <v>7.5000000000000011E-2</v>
      </c>
      <c r="N23">
        <f t="shared" si="1"/>
        <v>5.91</v>
      </c>
      <c r="O23">
        <f t="shared" si="2"/>
        <v>81.210000000000008</v>
      </c>
      <c r="P23">
        <f t="shared" si="3"/>
        <v>37.5</v>
      </c>
      <c r="Q23">
        <f t="shared" si="4"/>
        <v>31</v>
      </c>
      <c r="T23" t="s">
        <v>64</v>
      </c>
      <c r="U23" t="s">
        <v>45</v>
      </c>
      <c r="V23" t="s">
        <v>65</v>
      </c>
      <c r="W23" t="s">
        <v>73</v>
      </c>
      <c r="X23">
        <v>0.08</v>
      </c>
      <c r="Y23">
        <v>7.0000000000000007E-2</v>
      </c>
      <c r="Z23">
        <v>5.74</v>
      </c>
      <c r="AA23">
        <v>6.08</v>
      </c>
      <c r="AB23">
        <v>75.260000000000005</v>
      </c>
      <c r="AC23">
        <v>87.16</v>
      </c>
      <c r="AD23">
        <v>54</v>
      </c>
      <c r="AE23">
        <v>21</v>
      </c>
      <c r="AF23">
        <v>33</v>
      </c>
      <c r="AG23">
        <v>29</v>
      </c>
    </row>
    <row r="24" spans="1:33" x14ac:dyDescent="0.2">
      <c r="A24" t="s">
        <v>20</v>
      </c>
      <c r="B24" t="s">
        <v>21</v>
      </c>
      <c r="D24" t="s">
        <v>74</v>
      </c>
      <c r="E24" t="e">
        <v>#VALUE!</v>
      </c>
      <c r="F24">
        <v>0.11</v>
      </c>
      <c r="G24" t="e">
        <v>#VALUE!</v>
      </c>
      <c r="H24" t="e">
        <v>#VALUE!</v>
      </c>
      <c r="I24">
        <v>60.93</v>
      </c>
      <c r="K24" t="s">
        <v>23</v>
      </c>
      <c r="L24" t="s">
        <v>74</v>
      </c>
      <c r="M24">
        <f t="shared" si="0"/>
        <v>0.4</v>
      </c>
      <c r="N24">
        <f t="shared" si="1"/>
        <v>16.795000000000002</v>
      </c>
      <c r="O24">
        <f t="shared" si="2"/>
        <v>43.85</v>
      </c>
      <c r="P24">
        <f t="shared" si="3"/>
        <v>80</v>
      </c>
      <c r="Q24">
        <f t="shared" si="4"/>
        <v>69.5</v>
      </c>
      <c r="T24" t="s">
        <v>24</v>
      </c>
      <c r="U24" t="s">
        <v>75</v>
      </c>
      <c r="V24" t="s">
        <v>26</v>
      </c>
      <c r="W24" t="s">
        <v>74</v>
      </c>
      <c r="X24">
        <v>0.46</v>
      </c>
      <c r="Y24">
        <v>0.34</v>
      </c>
      <c r="Z24">
        <v>15.06</v>
      </c>
      <c r="AA24">
        <v>18.53</v>
      </c>
      <c r="AB24">
        <v>33.03</v>
      </c>
      <c r="AC24">
        <v>54.67</v>
      </c>
      <c r="AD24">
        <v>88</v>
      </c>
      <c r="AE24">
        <v>72</v>
      </c>
      <c r="AF24">
        <v>63</v>
      </c>
      <c r="AG24">
        <v>76</v>
      </c>
    </row>
    <row r="25" spans="1:33" x14ac:dyDescent="0.2">
      <c r="A25" t="s">
        <v>20</v>
      </c>
      <c r="B25" t="s">
        <v>21</v>
      </c>
      <c r="D25" t="s">
        <v>76</v>
      </c>
      <c r="E25" t="e">
        <v>#VALUE!</v>
      </c>
      <c r="F25" t="e">
        <v>#VALUE!</v>
      </c>
      <c r="G25" t="e">
        <v>#VALUE!</v>
      </c>
      <c r="H25" t="e">
        <v>#VALUE!</v>
      </c>
      <c r="I25" t="e">
        <v>#VALUE!</v>
      </c>
      <c r="K25" t="s">
        <v>23</v>
      </c>
      <c r="L25" t="s">
        <v>76</v>
      </c>
      <c r="M25" t="e">
        <f t="shared" si="0"/>
        <v>#DIV/0!</v>
      </c>
      <c r="N25">
        <f t="shared" si="1"/>
        <v>1.575</v>
      </c>
      <c r="O25" t="e">
        <f t="shared" si="2"/>
        <v>#DIV/0!</v>
      </c>
      <c r="P25" t="e">
        <f t="shared" si="3"/>
        <v>#DIV/0!</v>
      </c>
      <c r="Q25">
        <f t="shared" si="4"/>
        <v>51</v>
      </c>
      <c r="T25" t="s">
        <v>64</v>
      </c>
      <c r="U25" t="s">
        <v>45</v>
      </c>
      <c r="V25" t="s">
        <v>65</v>
      </c>
      <c r="W25" t="s">
        <v>76</v>
      </c>
      <c r="X25" t="s">
        <v>274</v>
      </c>
      <c r="Y25" t="s">
        <v>274</v>
      </c>
      <c r="Z25">
        <v>1.68</v>
      </c>
      <c r="AA25">
        <v>1.47</v>
      </c>
      <c r="AB25" t="s">
        <v>274</v>
      </c>
      <c r="AC25" t="s">
        <v>274</v>
      </c>
      <c r="AD25" t="s">
        <v>274</v>
      </c>
      <c r="AE25" t="s">
        <v>274</v>
      </c>
      <c r="AF25">
        <v>58</v>
      </c>
      <c r="AG25">
        <v>44</v>
      </c>
    </row>
    <row r="26" spans="1:33" x14ac:dyDescent="0.2">
      <c r="A26" t="s">
        <v>20</v>
      </c>
      <c r="B26" t="s">
        <v>21</v>
      </c>
      <c r="D26" t="s">
        <v>77</v>
      </c>
      <c r="E26">
        <v>1.39</v>
      </c>
      <c r="F26">
        <v>1.0900000000000001</v>
      </c>
      <c r="G26">
        <v>0.79</v>
      </c>
      <c r="H26">
        <v>56.27</v>
      </c>
      <c r="I26">
        <v>62.31</v>
      </c>
      <c r="K26" t="s">
        <v>23</v>
      </c>
      <c r="L26" t="s">
        <v>77</v>
      </c>
      <c r="M26">
        <f t="shared" si="0"/>
        <v>0.22</v>
      </c>
      <c r="N26">
        <f t="shared" si="1"/>
        <v>1.5899999999999999</v>
      </c>
      <c r="O26">
        <f t="shared" si="2"/>
        <v>9.25</v>
      </c>
      <c r="P26">
        <f t="shared" si="3"/>
        <v>54.5</v>
      </c>
      <c r="Q26">
        <f t="shared" si="4"/>
        <v>60</v>
      </c>
      <c r="T26" t="s">
        <v>64</v>
      </c>
      <c r="U26" t="s">
        <v>45</v>
      </c>
      <c r="V26" t="s">
        <v>65</v>
      </c>
      <c r="W26" t="s">
        <v>77</v>
      </c>
      <c r="X26">
        <v>0.31</v>
      </c>
      <c r="Y26">
        <v>0.13</v>
      </c>
      <c r="Z26">
        <v>1.26</v>
      </c>
      <c r="AA26">
        <v>1.92</v>
      </c>
      <c r="AB26">
        <v>4.05</v>
      </c>
      <c r="AC26">
        <v>14.45</v>
      </c>
      <c r="AD26">
        <v>55</v>
      </c>
      <c r="AE26">
        <v>54</v>
      </c>
      <c r="AF26">
        <v>54</v>
      </c>
      <c r="AG26">
        <v>66</v>
      </c>
    </row>
    <row r="27" spans="1:33" x14ac:dyDescent="0.2">
      <c r="A27" t="s">
        <v>20</v>
      </c>
      <c r="B27" t="s">
        <v>21</v>
      </c>
      <c r="D27" t="s">
        <v>78</v>
      </c>
      <c r="E27" t="e">
        <v>#VALUE!</v>
      </c>
      <c r="F27" t="e">
        <v>#VALUE!</v>
      </c>
      <c r="G27" t="e">
        <v>#VALUE!</v>
      </c>
      <c r="H27" t="e">
        <v>#VALUE!</v>
      </c>
      <c r="I27" t="e">
        <v>#VALUE!</v>
      </c>
      <c r="K27" t="s">
        <v>23</v>
      </c>
      <c r="L27" t="s">
        <v>78</v>
      </c>
      <c r="M27">
        <f t="shared" si="0"/>
        <v>0.21000000000000002</v>
      </c>
      <c r="N27">
        <f t="shared" si="1"/>
        <v>7.7099999999999991</v>
      </c>
      <c r="O27">
        <f t="shared" si="2"/>
        <v>42.375</v>
      </c>
      <c r="P27">
        <f t="shared" si="3"/>
        <v>77</v>
      </c>
      <c r="Q27">
        <f t="shared" si="4"/>
        <v>74</v>
      </c>
      <c r="T27" t="s">
        <v>64</v>
      </c>
      <c r="U27" t="s">
        <v>45</v>
      </c>
      <c r="V27" t="s">
        <v>65</v>
      </c>
      <c r="W27" t="s">
        <v>78</v>
      </c>
      <c r="X27">
        <v>0.27</v>
      </c>
      <c r="Y27">
        <v>0.15</v>
      </c>
      <c r="Z27">
        <v>5.8</v>
      </c>
      <c r="AA27">
        <v>9.6199999999999992</v>
      </c>
      <c r="AB27">
        <v>21.6</v>
      </c>
      <c r="AC27">
        <v>63.15</v>
      </c>
      <c r="AD27">
        <v>57</v>
      </c>
      <c r="AE27">
        <v>97</v>
      </c>
      <c r="AF27">
        <v>56</v>
      </c>
      <c r="AG27">
        <v>92</v>
      </c>
    </row>
    <row r="28" spans="1:33" x14ac:dyDescent="0.2">
      <c r="A28" t="s">
        <v>20</v>
      </c>
      <c r="B28" t="s">
        <v>21</v>
      </c>
      <c r="D28" t="s">
        <v>79</v>
      </c>
      <c r="E28">
        <v>8.89</v>
      </c>
      <c r="F28">
        <v>28.82</v>
      </c>
      <c r="G28">
        <v>3.25</v>
      </c>
      <c r="H28">
        <v>93.09</v>
      </c>
      <c r="I28">
        <v>86.24</v>
      </c>
      <c r="K28" t="s">
        <v>23</v>
      </c>
      <c r="L28" t="s">
        <v>79</v>
      </c>
      <c r="M28">
        <f t="shared" si="0"/>
        <v>0.27999999999999997</v>
      </c>
      <c r="N28">
        <f t="shared" si="1"/>
        <v>26.745000000000001</v>
      </c>
      <c r="O28">
        <f t="shared" si="2"/>
        <v>104.785</v>
      </c>
      <c r="P28">
        <f t="shared" si="3"/>
        <v>74.5</v>
      </c>
      <c r="Q28">
        <f t="shared" si="4"/>
        <v>66.5</v>
      </c>
      <c r="T28" t="s">
        <v>64</v>
      </c>
      <c r="U28" t="s">
        <v>45</v>
      </c>
      <c r="V28" t="s">
        <v>65</v>
      </c>
      <c r="W28" t="s">
        <v>79</v>
      </c>
      <c r="X28">
        <v>0.21</v>
      </c>
      <c r="Y28">
        <v>0.35</v>
      </c>
      <c r="Z28">
        <v>28.39</v>
      </c>
      <c r="AA28">
        <v>25.1</v>
      </c>
      <c r="AB28">
        <v>138.02000000000001</v>
      </c>
      <c r="AC28">
        <v>71.55</v>
      </c>
      <c r="AD28">
        <v>74</v>
      </c>
      <c r="AE28">
        <v>75</v>
      </c>
      <c r="AF28">
        <v>71</v>
      </c>
      <c r="AG28">
        <v>62</v>
      </c>
    </row>
    <row r="29" spans="1:33" x14ac:dyDescent="0.2">
      <c r="A29" t="s">
        <v>20</v>
      </c>
      <c r="B29" t="s">
        <v>21</v>
      </c>
      <c r="D29" t="s">
        <v>80</v>
      </c>
      <c r="E29">
        <v>1.03</v>
      </c>
      <c r="F29">
        <v>4.7</v>
      </c>
      <c r="G29">
        <v>5.28</v>
      </c>
      <c r="H29">
        <v>28.15</v>
      </c>
      <c r="I29">
        <v>57.33</v>
      </c>
      <c r="K29" t="s">
        <v>23</v>
      </c>
      <c r="L29" t="s">
        <v>80</v>
      </c>
      <c r="M29">
        <f t="shared" si="0"/>
        <v>5.36</v>
      </c>
      <c r="N29">
        <f t="shared" si="1"/>
        <v>10.600000000000001</v>
      </c>
      <c r="O29">
        <f t="shared" si="2"/>
        <v>1.9950000000000001</v>
      </c>
      <c r="P29">
        <f t="shared" si="3"/>
        <v>77</v>
      </c>
      <c r="Q29">
        <f t="shared" si="4"/>
        <v>62</v>
      </c>
      <c r="T29" t="s">
        <v>24</v>
      </c>
      <c r="U29" t="s">
        <v>25</v>
      </c>
      <c r="V29" t="s">
        <v>26</v>
      </c>
      <c r="W29" t="s">
        <v>80</v>
      </c>
      <c r="X29">
        <v>5.65</v>
      </c>
      <c r="Y29">
        <v>5.07</v>
      </c>
      <c r="Z29">
        <v>9.06</v>
      </c>
      <c r="AA29">
        <v>12.14</v>
      </c>
      <c r="AB29">
        <v>1.6</v>
      </c>
      <c r="AC29">
        <v>2.39</v>
      </c>
      <c r="AD29">
        <v>82</v>
      </c>
      <c r="AE29">
        <v>72</v>
      </c>
      <c r="AF29">
        <v>55</v>
      </c>
      <c r="AG29">
        <v>69</v>
      </c>
    </row>
    <row r="30" spans="1:33" x14ac:dyDescent="0.2">
      <c r="A30" t="s">
        <v>20</v>
      </c>
      <c r="B30" t="s">
        <v>21</v>
      </c>
      <c r="D30" t="s">
        <v>81</v>
      </c>
      <c r="E30">
        <v>0.84</v>
      </c>
      <c r="F30">
        <v>7.48</v>
      </c>
      <c r="G30">
        <v>8.86</v>
      </c>
      <c r="H30">
        <v>51.55</v>
      </c>
      <c r="I30">
        <v>106.89</v>
      </c>
      <c r="K30" t="s">
        <v>23</v>
      </c>
      <c r="L30" t="s">
        <v>81</v>
      </c>
      <c r="M30">
        <f t="shared" si="0"/>
        <v>0.28000000000000003</v>
      </c>
      <c r="N30">
        <f t="shared" si="1"/>
        <v>4.37</v>
      </c>
      <c r="O30">
        <f t="shared" si="2"/>
        <v>15.925000000000001</v>
      </c>
      <c r="P30">
        <f t="shared" si="3"/>
        <v>61</v>
      </c>
      <c r="Q30">
        <f t="shared" si="4"/>
        <v>67.5</v>
      </c>
      <c r="T30" t="s">
        <v>52</v>
      </c>
      <c r="U30" t="s">
        <v>82</v>
      </c>
      <c r="V30" t="s">
        <v>83</v>
      </c>
      <c r="W30" t="s">
        <v>81</v>
      </c>
      <c r="X30">
        <v>0.28999999999999998</v>
      </c>
      <c r="Y30">
        <v>0.27</v>
      </c>
      <c r="Z30">
        <v>3.77</v>
      </c>
      <c r="AA30">
        <v>4.97</v>
      </c>
      <c r="AB30">
        <v>13.12</v>
      </c>
      <c r="AC30">
        <v>18.73</v>
      </c>
      <c r="AD30">
        <v>58</v>
      </c>
      <c r="AE30">
        <v>64</v>
      </c>
      <c r="AF30">
        <v>69</v>
      </c>
      <c r="AG30">
        <v>66</v>
      </c>
    </row>
    <row r="31" spans="1:33" x14ac:dyDescent="0.2">
      <c r="A31" t="s">
        <v>20</v>
      </c>
      <c r="B31" t="s">
        <v>21</v>
      </c>
      <c r="D31" t="s">
        <v>84</v>
      </c>
      <c r="E31">
        <v>10.23</v>
      </c>
      <c r="F31">
        <v>13.25</v>
      </c>
      <c r="G31">
        <v>1.51</v>
      </c>
      <c r="H31">
        <v>54.09</v>
      </c>
      <c r="I31">
        <v>36.76</v>
      </c>
      <c r="K31" t="s">
        <v>23</v>
      </c>
      <c r="L31" t="s">
        <v>84</v>
      </c>
      <c r="M31">
        <f t="shared" si="0"/>
        <v>12.52</v>
      </c>
      <c r="N31">
        <f t="shared" si="1"/>
        <v>18.975000000000001</v>
      </c>
      <c r="O31">
        <f t="shared" si="2"/>
        <v>1.51</v>
      </c>
      <c r="P31">
        <f t="shared" si="3"/>
        <v>73</v>
      </c>
      <c r="Q31">
        <f t="shared" si="4"/>
        <v>57</v>
      </c>
      <c r="T31" t="s">
        <v>64</v>
      </c>
      <c r="U31" t="s">
        <v>45</v>
      </c>
      <c r="V31" t="s">
        <v>65</v>
      </c>
      <c r="W31" t="s">
        <v>84</v>
      </c>
      <c r="X31">
        <v>12.18</v>
      </c>
      <c r="Y31">
        <v>12.86</v>
      </c>
      <c r="Z31">
        <v>16.38</v>
      </c>
      <c r="AA31">
        <v>21.57</v>
      </c>
      <c r="AB31">
        <v>1.34</v>
      </c>
      <c r="AC31">
        <v>1.68</v>
      </c>
      <c r="AD31">
        <v>71</v>
      </c>
      <c r="AE31">
        <v>75</v>
      </c>
      <c r="AF31">
        <v>47</v>
      </c>
      <c r="AG31">
        <v>67</v>
      </c>
    </row>
    <row r="32" spans="1:33" x14ac:dyDescent="0.2">
      <c r="A32" t="s">
        <v>20</v>
      </c>
      <c r="B32" t="s">
        <v>21</v>
      </c>
      <c r="D32" t="s">
        <v>85</v>
      </c>
      <c r="E32" t="e">
        <v>#VALUE!</v>
      </c>
      <c r="F32">
        <v>23.45</v>
      </c>
      <c r="G32" t="e">
        <v>#VALUE!</v>
      </c>
      <c r="H32" t="e">
        <v>#VALUE!</v>
      </c>
      <c r="I32">
        <v>70.58</v>
      </c>
      <c r="K32" t="s">
        <v>23</v>
      </c>
      <c r="L32" t="s">
        <v>85</v>
      </c>
      <c r="M32">
        <f t="shared" si="0"/>
        <v>1.335</v>
      </c>
      <c r="N32">
        <f t="shared" si="1"/>
        <v>25.130000000000003</v>
      </c>
      <c r="O32">
        <f t="shared" si="2"/>
        <v>18.844999999999999</v>
      </c>
      <c r="P32">
        <f t="shared" si="3"/>
        <v>70.5</v>
      </c>
      <c r="Q32">
        <f t="shared" si="4"/>
        <v>68</v>
      </c>
      <c r="T32" t="s">
        <v>64</v>
      </c>
      <c r="U32" t="s">
        <v>45</v>
      </c>
      <c r="V32" t="s">
        <v>65</v>
      </c>
      <c r="W32" t="s">
        <v>85</v>
      </c>
      <c r="X32">
        <v>1.32</v>
      </c>
      <c r="Y32">
        <v>1.35</v>
      </c>
      <c r="Z32">
        <v>26.41</v>
      </c>
      <c r="AA32">
        <v>23.85</v>
      </c>
      <c r="AB32">
        <v>19.989999999999998</v>
      </c>
      <c r="AC32">
        <v>17.7</v>
      </c>
      <c r="AD32">
        <v>69</v>
      </c>
      <c r="AE32">
        <v>72</v>
      </c>
      <c r="AF32">
        <v>66</v>
      </c>
      <c r="AG32">
        <v>70</v>
      </c>
    </row>
    <row r="33" spans="1:93" x14ac:dyDescent="0.2">
      <c r="A33" t="s">
        <v>20</v>
      </c>
      <c r="B33" t="s">
        <v>21</v>
      </c>
      <c r="D33" t="s">
        <v>86</v>
      </c>
      <c r="E33" t="e">
        <v>#VALUE!</v>
      </c>
      <c r="F33">
        <v>0.38</v>
      </c>
      <c r="G33" t="e">
        <v>#VALUE!</v>
      </c>
      <c r="H33" t="e">
        <v>#VALUE!</v>
      </c>
      <c r="I33">
        <v>46.18</v>
      </c>
      <c r="K33" t="s">
        <v>23</v>
      </c>
      <c r="L33" t="s">
        <v>86</v>
      </c>
      <c r="M33" t="e">
        <f t="shared" si="0"/>
        <v>#DIV/0!</v>
      </c>
      <c r="N33" t="e">
        <f t="shared" si="1"/>
        <v>#DIV/0!</v>
      </c>
      <c r="O33" t="e">
        <f t="shared" si="2"/>
        <v>#DIV/0!</v>
      </c>
      <c r="P33" t="e">
        <f t="shared" si="3"/>
        <v>#DIV/0!</v>
      </c>
      <c r="Q33" t="e">
        <f t="shared" si="4"/>
        <v>#DIV/0!</v>
      </c>
      <c r="T33" t="s">
        <v>64</v>
      </c>
      <c r="U33" t="s">
        <v>45</v>
      </c>
      <c r="V33" t="s">
        <v>65</v>
      </c>
      <c r="W33" t="s">
        <v>86</v>
      </c>
      <c r="X33" t="s">
        <v>274</v>
      </c>
      <c r="Y33" t="s">
        <v>274</v>
      </c>
      <c r="Z33" t="s">
        <v>274</v>
      </c>
      <c r="AA33" t="s">
        <v>274</v>
      </c>
      <c r="AB33" t="s">
        <v>274</v>
      </c>
      <c r="AC33" t="s">
        <v>274</v>
      </c>
      <c r="AD33" t="s">
        <v>274</v>
      </c>
      <c r="AE33" t="s">
        <v>274</v>
      </c>
      <c r="AF33" t="s">
        <v>274</v>
      </c>
      <c r="AG33" t="s">
        <v>274</v>
      </c>
    </row>
    <row r="34" spans="1:93" x14ac:dyDescent="0.2">
      <c r="A34" t="s">
        <v>20</v>
      </c>
      <c r="B34" t="s">
        <v>21</v>
      </c>
      <c r="D34" t="s">
        <v>87</v>
      </c>
      <c r="E34">
        <v>1.3</v>
      </c>
      <c r="F34">
        <v>0.68</v>
      </c>
      <c r="G34">
        <v>0.52</v>
      </c>
      <c r="H34">
        <v>53.59</v>
      </c>
      <c r="I34">
        <v>59.51</v>
      </c>
      <c r="K34" t="s">
        <v>23</v>
      </c>
      <c r="L34" t="s">
        <v>87</v>
      </c>
      <c r="M34">
        <f t="shared" si="0"/>
        <v>8.0599999999999987</v>
      </c>
      <c r="N34">
        <f t="shared" si="1"/>
        <v>3.3966666666666669</v>
      </c>
      <c r="O34">
        <f t="shared" si="2"/>
        <v>1.034</v>
      </c>
      <c r="P34">
        <f t="shared" si="3"/>
        <v>58.236000000000011</v>
      </c>
      <c r="Q34">
        <f t="shared" si="4"/>
        <v>43.544999999999995</v>
      </c>
      <c r="T34" t="s">
        <v>30</v>
      </c>
      <c r="U34" t="s">
        <v>31</v>
      </c>
      <c r="V34" t="s">
        <v>31</v>
      </c>
      <c r="W34" t="s">
        <v>87</v>
      </c>
      <c r="X34">
        <v>0.45</v>
      </c>
      <c r="Y34" t="s">
        <v>274</v>
      </c>
      <c r="Z34">
        <v>1.85</v>
      </c>
      <c r="AA34">
        <v>5.71</v>
      </c>
      <c r="AB34">
        <v>4.08</v>
      </c>
      <c r="AC34" t="s">
        <v>274</v>
      </c>
      <c r="AD34">
        <v>43.97</v>
      </c>
      <c r="AE34" t="s">
        <v>274</v>
      </c>
      <c r="AF34">
        <v>32.31</v>
      </c>
      <c r="AG34">
        <v>54.57</v>
      </c>
      <c r="AI34" t="s">
        <v>27</v>
      </c>
      <c r="AJ34" t="s">
        <v>88</v>
      </c>
      <c r="AL34" t="s">
        <v>87</v>
      </c>
      <c r="AM34">
        <v>3.4</v>
      </c>
      <c r="AN34">
        <v>3.03</v>
      </c>
      <c r="AO34">
        <v>0.86</v>
      </c>
      <c r="AP34">
        <v>0.75</v>
      </c>
      <c r="AQ34">
        <v>0.25</v>
      </c>
      <c r="AR34">
        <v>0.25</v>
      </c>
      <c r="AS34">
        <v>53.9</v>
      </c>
      <c r="AT34">
        <v>43.86</v>
      </c>
      <c r="AU34">
        <v>46.51</v>
      </c>
      <c r="AV34">
        <v>44.25</v>
      </c>
      <c r="AX34" t="s">
        <v>27</v>
      </c>
      <c r="AY34" t="s">
        <v>28</v>
      </c>
      <c r="BA34" t="s">
        <v>87</v>
      </c>
      <c r="BB34">
        <v>13.05</v>
      </c>
      <c r="BC34">
        <v>20.37</v>
      </c>
      <c r="BD34">
        <v>1.33</v>
      </c>
      <c r="BE34">
        <v>9.8800000000000008</v>
      </c>
      <c r="BF34">
        <v>0.1</v>
      </c>
      <c r="BG34">
        <v>0.49</v>
      </c>
      <c r="BH34">
        <v>44.52</v>
      </c>
      <c r="BI34">
        <v>104.93</v>
      </c>
      <c r="BJ34">
        <v>36.299999999999997</v>
      </c>
      <c r="BK34">
        <v>47.33</v>
      </c>
    </row>
    <row r="35" spans="1:93" x14ac:dyDescent="0.2">
      <c r="A35" t="s">
        <v>20</v>
      </c>
      <c r="B35" t="s">
        <v>21</v>
      </c>
      <c r="D35" t="s">
        <v>89</v>
      </c>
      <c r="E35" t="e">
        <v>#VALUE!</v>
      </c>
      <c r="F35" t="e">
        <v>#VALUE!</v>
      </c>
      <c r="G35" t="e">
        <v>#VALUE!</v>
      </c>
      <c r="H35" t="e">
        <v>#VALUE!</v>
      </c>
      <c r="I35" t="e">
        <v>#VALUE!</v>
      </c>
      <c r="K35" t="s">
        <v>23</v>
      </c>
      <c r="L35" t="s">
        <v>89</v>
      </c>
      <c r="M35" t="e">
        <f t="shared" si="0"/>
        <v>#DIV/0!</v>
      </c>
      <c r="N35" t="e">
        <f t="shared" si="1"/>
        <v>#DIV/0!</v>
      </c>
      <c r="O35" t="e">
        <f t="shared" si="2"/>
        <v>#DIV/0!</v>
      </c>
      <c r="P35" t="e">
        <f t="shared" si="3"/>
        <v>#DIV/0!</v>
      </c>
      <c r="Q35" t="e">
        <f t="shared" si="4"/>
        <v>#DIV/0!</v>
      </c>
      <c r="T35" t="s">
        <v>30</v>
      </c>
      <c r="U35" t="s">
        <v>31</v>
      </c>
      <c r="V35" t="s">
        <v>31</v>
      </c>
      <c r="W35" t="s">
        <v>89</v>
      </c>
      <c r="X35" t="s">
        <v>274</v>
      </c>
      <c r="Y35" t="s">
        <v>274</v>
      </c>
      <c r="Z35" t="s">
        <v>274</v>
      </c>
      <c r="AA35" t="s">
        <v>274</v>
      </c>
      <c r="AB35" t="s">
        <v>274</v>
      </c>
      <c r="AC35" t="s">
        <v>274</v>
      </c>
      <c r="AD35" t="s">
        <v>274</v>
      </c>
      <c r="AE35" t="s">
        <v>274</v>
      </c>
      <c r="AF35" t="s">
        <v>274</v>
      </c>
      <c r="AG35" t="s">
        <v>274</v>
      </c>
      <c r="AI35" t="s">
        <v>27</v>
      </c>
      <c r="AJ35" t="s">
        <v>28</v>
      </c>
      <c r="AL35" t="s">
        <v>89</v>
      </c>
      <c r="AM35" t="s">
        <v>274</v>
      </c>
      <c r="AN35" t="s">
        <v>274</v>
      </c>
      <c r="AO35" t="s">
        <v>274</v>
      </c>
      <c r="AP35" t="s">
        <v>274</v>
      </c>
      <c r="AQ35" t="s">
        <v>274</v>
      </c>
      <c r="AR35" t="s">
        <v>274</v>
      </c>
      <c r="AS35" t="s">
        <v>274</v>
      </c>
      <c r="AT35" t="s">
        <v>274</v>
      </c>
      <c r="AU35" t="s">
        <v>274</v>
      </c>
      <c r="AV35" t="s">
        <v>274</v>
      </c>
    </row>
    <row r="36" spans="1:93" x14ac:dyDescent="0.2">
      <c r="A36" t="s">
        <v>20</v>
      </c>
      <c r="B36" t="s">
        <v>21</v>
      </c>
      <c r="D36" t="s">
        <v>90</v>
      </c>
      <c r="E36" t="e">
        <v>#VALUE!</v>
      </c>
      <c r="F36">
        <v>0.1</v>
      </c>
      <c r="G36" t="e">
        <v>#VALUE!</v>
      </c>
      <c r="H36" t="e">
        <v>#VALUE!</v>
      </c>
      <c r="I36">
        <v>69.540000000000006</v>
      </c>
      <c r="K36" t="s">
        <v>23</v>
      </c>
      <c r="L36" t="s">
        <v>90</v>
      </c>
      <c r="M36" t="e">
        <f t="shared" si="0"/>
        <v>#DIV/0!</v>
      </c>
      <c r="N36">
        <f t="shared" si="1"/>
        <v>0.37</v>
      </c>
      <c r="O36" t="e">
        <f t="shared" si="2"/>
        <v>#DIV/0!</v>
      </c>
      <c r="P36" t="e">
        <f t="shared" si="3"/>
        <v>#DIV/0!</v>
      </c>
      <c r="Q36">
        <f t="shared" si="4"/>
        <v>45.5</v>
      </c>
      <c r="T36" t="s">
        <v>64</v>
      </c>
      <c r="U36" t="s">
        <v>45</v>
      </c>
      <c r="V36" t="s">
        <v>65</v>
      </c>
      <c r="W36" t="s">
        <v>90</v>
      </c>
      <c r="X36" t="s">
        <v>274</v>
      </c>
      <c r="Y36" t="s">
        <v>274</v>
      </c>
      <c r="Z36">
        <v>0.39</v>
      </c>
      <c r="AA36">
        <v>0.35</v>
      </c>
      <c r="AB36" t="s">
        <v>274</v>
      </c>
      <c r="AC36" t="s">
        <v>274</v>
      </c>
      <c r="AD36" t="s">
        <v>274</v>
      </c>
      <c r="AE36" t="s">
        <v>274</v>
      </c>
      <c r="AF36">
        <v>51</v>
      </c>
      <c r="AG36">
        <v>40</v>
      </c>
    </row>
    <row r="37" spans="1:93" x14ac:dyDescent="0.2">
      <c r="A37" t="s">
        <v>20</v>
      </c>
      <c r="B37" t="s">
        <v>21</v>
      </c>
      <c r="D37" t="s">
        <v>91</v>
      </c>
      <c r="E37">
        <v>0.36</v>
      </c>
      <c r="F37">
        <v>9.06</v>
      </c>
      <c r="G37">
        <v>27.8</v>
      </c>
      <c r="H37">
        <v>67.88</v>
      </c>
      <c r="I37">
        <v>52.74</v>
      </c>
      <c r="K37" t="s">
        <v>23</v>
      </c>
      <c r="L37" t="s">
        <v>91</v>
      </c>
      <c r="M37">
        <f t="shared" si="0"/>
        <v>0.54500000000000004</v>
      </c>
      <c r="N37">
        <f t="shared" si="1"/>
        <v>13.149999999999999</v>
      </c>
      <c r="O37">
        <f t="shared" si="2"/>
        <v>24.189999999999998</v>
      </c>
      <c r="P37">
        <f t="shared" si="3"/>
        <v>59.5</v>
      </c>
      <c r="Q37">
        <f t="shared" si="4"/>
        <v>66.5</v>
      </c>
      <c r="T37" t="s">
        <v>64</v>
      </c>
      <c r="U37" t="s">
        <v>45</v>
      </c>
      <c r="V37" t="s">
        <v>65</v>
      </c>
      <c r="W37" t="s">
        <v>91</v>
      </c>
      <c r="X37">
        <v>0.55000000000000004</v>
      </c>
      <c r="Y37">
        <v>0.54</v>
      </c>
      <c r="Z37">
        <v>12.85</v>
      </c>
      <c r="AA37">
        <v>13.45</v>
      </c>
      <c r="AB37">
        <v>23.57</v>
      </c>
      <c r="AC37">
        <v>24.81</v>
      </c>
      <c r="AD37">
        <v>61</v>
      </c>
      <c r="AE37">
        <v>58</v>
      </c>
      <c r="AF37">
        <v>65</v>
      </c>
      <c r="AG37">
        <v>68</v>
      </c>
    </row>
    <row r="38" spans="1:93" x14ac:dyDescent="0.2">
      <c r="A38" t="s">
        <v>20</v>
      </c>
      <c r="B38" t="s">
        <v>21</v>
      </c>
      <c r="D38" t="s">
        <v>92</v>
      </c>
      <c r="E38" t="e">
        <v>#VALUE!</v>
      </c>
      <c r="F38" t="e">
        <v>#VALUE!</v>
      </c>
      <c r="G38" t="e">
        <v>#VALUE!</v>
      </c>
      <c r="H38" t="e">
        <v>#VALUE!</v>
      </c>
      <c r="I38" t="e">
        <v>#VALUE!</v>
      </c>
      <c r="K38" t="s">
        <v>23</v>
      </c>
      <c r="L38" t="s">
        <v>92</v>
      </c>
      <c r="M38" t="e">
        <f t="shared" si="0"/>
        <v>#DIV/0!</v>
      </c>
      <c r="N38" t="e">
        <f t="shared" si="1"/>
        <v>#DIV/0!</v>
      </c>
      <c r="O38" t="e">
        <f t="shared" si="2"/>
        <v>#DIV/0!</v>
      </c>
      <c r="P38" t="e">
        <f t="shared" si="3"/>
        <v>#DIV/0!</v>
      </c>
      <c r="Q38" t="e">
        <f t="shared" si="4"/>
        <v>#DIV/0!</v>
      </c>
      <c r="T38" t="s">
        <v>64</v>
      </c>
      <c r="U38" t="s">
        <v>45</v>
      </c>
      <c r="V38" t="s">
        <v>65</v>
      </c>
      <c r="W38" t="s">
        <v>92</v>
      </c>
      <c r="X38" t="s">
        <v>274</v>
      </c>
      <c r="Y38" t="s">
        <v>274</v>
      </c>
      <c r="Z38" t="s">
        <v>274</v>
      </c>
      <c r="AA38" t="s">
        <v>274</v>
      </c>
      <c r="AB38" t="s">
        <v>274</v>
      </c>
      <c r="AC38" t="s">
        <v>274</v>
      </c>
      <c r="AD38" t="s">
        <v>274</v>
      </c>
      <c r="AE38" t="s">
        <v>274</v>
      </c>
      <c r="AF38" t="s">
        <v>274</v>
      </c>
      <c r="AG38" t="s">
        <v>274</v>
      </c>
    </row>
    <row r="39" spans="1:93" x14ac:dyDescent="0.2">
      <c r="A39" t="s">
        <v>20</v>
      </c>
      <c r="B39" t="s">
        <v>21</v>
      </c>
      <c r="D39" t="s">
        <v>93</v>
      </c>
      <c r="E39" t="e">
        <v>#VALUE!</v>
      </c>
      <c r="F39" t="e">
        <v>#VALUE!</v>
      </c>
      <c r="G39" t="e">
        <v>#VALUE!</v>
      </c>
      <c r="H39" t="e">
        <v>#VALUE!</v>
      </c>
      <c r="I39" t="e">
        <v>#VALUE!</v>
      </c>
      <c r="K39" t="s">
        <v>23</v>
      </c>
      <c r="L39" t="s">
        <v>93</v>
      </c>
      <c r="M39" t="e">
        <f t="shared" si="0"/>
        <v>#DIV/0!</v>
      </c>
      <c r="N39" t="e">
        <f t="shared" si="1"/>
        <v>#DIV/0!</v>
      </c>
      <c r="O39" t="e">
        <f t="shared" si="2"/>
        <v>#DIV/0!</v>
      </c>
      <c r="P39" t="e">
        <f t="shared" si="3"/>
        <v>#DIV/0!</v>
      </c>
      <c r="Q39" t="e">
        <f t="shared" si="4"/>
        <v>#DIV/0!</v>
      </c>
      <c r="T39" t="s">
        <v>36</v>
      </c>
      <c r="U39" t="s">
        <v>45</v>
      </c>
      <c r="V39" t="s">
        <v>46</v>
      </c>
      <c r="W39" t="s">
        <v>93</v>
      </c>
      <c r="X39" t="s">
        <v>274</v>
      </c>
      <c r="Y39" t="s">
        <v>274</v>
      </c>
      <c r="Z39" t="s">
        <v>274</v>
      </c>
      <c r="AA39" t="s">
        <v>274</v>
      </c>
      <c r="AB39" t="s">
        <v>274</v>
      </c>
      <c r="AC39" t="s">
        <v>274</v>
      </c>
      <c r="AD39" t="s">
        <v>274</v>
      </c>
      <c r="AE39" t="s">
        <v>274</v>
      </c>
      <c r="AF39" t="s">
        <v>274</v>
      </c>
      <c r="AG39" t="s">
        <v>274</v>
      </c>
    </row>
    <row r="40" spans="1:93" x14ac:dyDescent="0.2">
      <c r="A40" t="s">
        <v>20</v>
      </c>
      <c r="B40" t="s">
        <v>21</v>
      </c>
      <c r="D40" t="s">
        <v>94</v>
      </c>
      <c r="E40" t="e">
        <v>#VALUE!</v>
      </c>
      <c r="F40">
        <v>6.5</v>
      </c>
      <c r="G40" t="e">
        <v>#VALUE!</v>
      </c>
      <c r="H40" t="e">
        <v>#VALUE!</v>
      </c>
      <c r="I40">
        <v>73.72</v>
      </c>
      <c r="K40" t="s">
        <v>23</v>
      </c>
      <c r="L40" t="s">
        <v>94</v>
      </c>
      <c r="M40" t="e">
        <f t="shared" si="0"/>
        <v>#DIV/0!</v>
      </c>
      <c r="N40">
        <f t="shared" si="1"/>
        <v>3.63</v>
      </c>
      <c r="O40" t="e">
        <f t="shared" si="2"/>
        <v>#DIV/0!</v>
      </c>
      <c r="P40" t="e">
        <f t="shared" si="3"/>
        <v>#DIV/0!</v>
      </c>
      <c r="Q40">
        <f t="shared" si="4"/>
        <v>57.5</v>
      </c>
      <c r="T40" t="s">
        <v>64</v>
      </c>
      <c r="U40" t="s">
        <v>45</v>
      </c>
      <c r="V40" t="s">
        <v>65</v>
      </c>
      <c r="W40" t="s">
        <v>94</v>
      </c>
      <c r="X40" t="s">
        <v>274</v>
      </c>
      <c r="Y40" t="s">
        <v>274</v>
      </c>
      <c r="Z40">
        <v>3.9</v>
      </c>
      <c r="AA40">
        <v>3.36</v>
      </c>
      <c r="AB40" t="s">
        <v>274</v>
      </c>
      <c r="AC40" t="s">
        <v>274</v>
      </c>
      <c r="AD40" t="s">
        <v>274</v>
      </c>
      <c r="AE40" t="s">
        <v>274</v>
      </c>
      <c r="AF40">
        <v>58</v>
      </c>
      <c r="AG40">
        <v>57</v>
      </c>
    </row>
    <row r="41" spans="1:93" x14ac:dyDescent="0.2">
      <c r="A41" t="s">
        <v>20</v>
      </c>
      <c r="B41" t="s">
        <v>21</v>
      </c>
      <c r="D41" t="s">
        <v>95</v>
      </c>
      <c r="E41">
        <v>3.6</v>
      </c>
      <c r="F41">
        <v>9.3800000000000008</v>
      </c>
      <c r="G41">
        <v>3.02</v>
      </c>
      <c r="H41">
        <v>96.51</v>
      </c>
      <c r="I41">
        <v>74.42</v>
      </c>
      <c r="K41" t="s">
        <v>23</v>
      </c>
      <c r="L41" t="s">
        <v>95</v>
      </c>
      <c r="M41" t="e">
        <f t="shared" si="0"/>
        <v>#DIV/0!</v>
      </c>
      <c r="N41">
        <f t="shared" si="1"/>
        <v>14.914999999999999</v>
      </c>
      <c r="O41" t="e">
        <f t="shared" si="2"/>
        <v>#DIV/0!</v>
      </c>
      <c r="P41" t="e">
        <f t="shared" si="3"/>
        <v>#DIV/0!</v>
      </c>
      <c r="Q41">
        <f t="shared" si="4"/>
        <v>73.5</v>
      </c>
      <c r="T41" t="s">
        <v>64</v>
      </c>
      <c r="U41" t="s">
        <v>45</v>
      </c>
      <c r="V41" t="s">
        <v>65</v>
      </c>
      <c r="W41" t="s">
        <v>95</v>
      </c>
      <c r="X41" t="s">
        <v>274</v>
      </c>
      <c r="Y41" t="s">
        <v>274</v>
      </c>
      <c r="Z41">
        <v>13.45</v>
      </c>
      <c r="AA41">
        <v>16.38</v>
      </c>
      <c r="AB41" t="s">
        <v>274</v>
      </c>
      <c r="AC41" t="s">
        <v>274</v>
      </c>
      <c r="AD41" t="s">
        <v>274</v>
      </c>
      <c r="AE41" t="s">
        <v>274</v>
      </c>
      <c r="AF41">
        <v>68</v>
      </c>
      <c r="AG41">
        <v>79</v>
      </c>
    </row>
    <row r="42" spans="1:93" x14ac:dyDescent="0.2">
      <c r="A42" t="s">
        <v>20</v>
      </c>
      <c r="B42" t="s">
        <v>21</v>
      </c>
      <c r="D42" t="s">
        <v>96</v>
      </c>
      <c r="E42" t="e">
        <v>#VALUE!</v>
      </c>
      <c r="F42">
        <v>5.37</v>
      </c>
      <c r="G42" t="e">
        <v>#VALUE!</v>
      </c>
      <c r="H42" t="e">
        <v>#VALUE!</v>
      </c>
      <c r="I42">
        <v>54.19</v>
      </c>
      <c r="K42" t="s">
        <v>23</v>
      </c>
      <c r="L42" t="s">
        <v>96</v>
      </c>
      <c r="M42">
        <f t="shared" si="0"/>
        <v>2.2149999999999999</v>
      </c>
      <c r="N42">
        <f t="shared" si="1"/>
        <v>32.659999999999997</v>
      </c>
      <c r="O42">
        <f t="shared" si="2"/>
        <v>14.745000000000001</v>
      </c>
      <c r="P42">
        <f t="shared" si="3"/>
        <v>43.034999999999997</v>
      </c>
      <c r="Q42">
        <f t="shared" si="4"/>
        <v>69.5</v>
      </c>
      <c r="T42" t="s">
        <v>30</v>
      </c>
      <c r="U42" t="s">
        <v>31</v>
      </c>
      <c r="V42" t="s">
        <v>31</v>
      </c>
      <c r="W42" t="s">
        <v>96</v>
      </c>
      <c r="X42">
        <v>2.13</v>
      </c>
      <c r="Y42">
        <v>2.2999999999999998</v>
      </c>
      <c r="Z42">
        <v>32.39</v>
      </c>
      <c r="AA42">
        <v>32.93</v>
      </c>
      <c r="AB42">
        <v>15.18</v>
      </c>
      <c r="AC42">
        <v>14.31</v>
      </c>
      <c r="AD42">
        <v>44.36</v>
      </c>
      <c r="AE42">
        <v>41.71</v>
      </c>
      <c r="AF42">
        <v>67.819999999999993</v>
      </c>
      <c r="AG42">
        <v>71.180000000000007</v>
      </c>
    </row>
    <row r="43" spans="1:93" x14ac:dyDescent="0.2">
      <c r="A43" t="s">
        <v>20</v>
      </c>
      <c r="B43" t="s">
        <v>21</v>
      </c>
      <c r="D43" t="s">
        <v>97</v>
      </c>
      <c r="E43">
        <v>4.13</v>
      </c>
      <c r="F43">
        <v>8.82</v>
      </c>
      <c r="G43">
        <v>2.2000000000000002</v>
      </c>
      <c r="H43">
        <v>47.48</v>
      </c>
      <c r="I43">
        <v>31.53</v>
      </c>
      <c r="K43" t="s">
        <v>23</v>
      </c>
      <c r="L43" t="s">
        <v>97</v>
      </c>
      <c r="M43" t="e">
        <f t="shared" si="0"/>
        <v>#DIV/0!</v>
      </c>
      <c r="N43">
        <f t="shared" si="1"/>
        <v>10.274999999999999</v>
      </c>
      <c r="O43" t="e">
        <f t="shared" si="2"/>
        <v>#DIV/0!</v>
      </c>
      <c r="P43" t="e">
        <f t="shared" si="3"/>
        <v>#DIV/0!</v>
      </c>
      <c r="Q43">
        <f t="shared" si="4"/>
        <v>60</v>
      </c>
      <c r="T43" t="s">
        <v>64</v>
      </c>
      <c r="U43" t="s">
        <v>45</v>
      </c>
      <c r="V43" t="s">
        <v>65</v>
      </c>
      <c r="W43" t="s">
        <v>97</v>
      </c>
      <c r="X43" t="s">
        <v>274</v>
      </c>
      <c r="Y43" t="s">
        <v>274</v>
      </c>
      <c r="Z43">
        <v>9.61</v>
      </c>
      <c r="AA43">
        <v>10.94</v>
      </c>
      <c r="AB43" t="s">
        <v>274</v>
      </c>
      <c r="AC43" t="s">
        <v>274</v>
      </c>
      <c r="AD43" t="s">
        <v>274</v>
      </c>
      <c r="AE43" t="s">
        <v>274</v>
      </c>
      <c r="AF43">
        <v>58</v>
      </c>
      <c r="AG43">
        <v>62</v>
      </c>
    </row>
    <row r="44" spans="1:93" x14ac:dyDescent="0.2">
      <c r="A44" t="s">
        <v>20</v>
      </c>
      <c r="B44" t="s">
        <v>21</v>
      </c>
      <c r="D44" t="s">
        <v>98</v>
      </c>
      <c r="E44">
        <v>2.23</v>
      </c>
      <c r="F44">
        <v>10.74</v>
      </c>
      <c r="G44">
        <v>4.9000000000000004</v>
      </c>
      <c r="H44">
        <v>65.87</v>
      </c>
      <c r="I44">
        <v>50.43</v>
      </c>
      <c r="K44" t="s">
        <v>23</v>
      </c>
      <c r="L44" t="s">
        <v>98</v>
      </c>
      <c r="M44">
        <f t="shared" si="0"/>
        <v>2.4950000000000001</v>
      </c>
      <c r="N44">
        <f t="shared" si="1"/>
        <v>12.675000000000001</v>
      </c>
      <c r="O44">
        <f t="shared" si="2"/>
        <v>5.3100000000000005</v>
      </c>
      <c r="P44">
        <f t="shared" si="3"/>
        <v>67</v>
      </c>
      <c r="Q44">
        <f t="shared" si="4"/>
        <v>69.5</v>
      </c>
      <c r="T44" t="s">
        <v>64</v>
      </c>
      <c r="U44" t="s">
        <v>45</v>
      </c>
      <c r="V44" t="s">
        <v>65</v>
      </c>
      <c r="W44" t="s">
        <v>98</v>
      </c>
      <c r="X44">
        <v>1.91</v>
      </c>
      <c r="Y44">
        <v>3.08</v>
      </c>
      <c r="Z44">
        <v>11.94</v>
      </c>
      <c r="AA44">
        <v>13.41</v>
      </c>
      <c r="AB44">
        <v>6.26</v>
      </c>
      <c r="AC44">
        <v>4.3600000000000003</v>
      </c>
      <c r="AD44">
        <v>63</v>
      </c>
      <c r="AE44">
        <v>71</v>
      </c>
      <c r="AF44">
        <v>71</v>
      </c>
      <c r="AG44">
        <v>68</v>
      </c>
    </row>
    <row r="45" spans="1:93" x14ac:dyDescent="0.2">
      <c r="A45" t="s">
        <v>20</v>
      </c>
      <c r="B45" t="s">
        <v>21</v>
      </c>
      <c r="D45" t="s">
        <v>99</v>
      </c>
      <c r="E45">
        <v>1.47</v>
      </c>
      <c r="F45">
        <v>8.9499999999999993</v>
      </c>
      <c r="G45">
        <v>6.14</v>
      </c>
      <c r="H45">
        <v>96.38</v>
      </c>
      <c r="I45">
        <v>75.19</v>
      </c>
      <c r="K45" t="s">
        <v>23</v>
      </c>
      <c r="L45" t="s">
        <v>99</v>
      </c>
      <c r="M45">
        <f t="shared" si="0"/>
        <v>38.674999999999997</v>
      </c>
      <c r="N45">
        <f t="shared" si="1"/>
        <v>13.63</v>
      </c>
      <c r="O45">
        <f t="shared" si="2"/>
        <v>0.35499999999999998</v>
      </c>
      <c r="P45">
        <f t="shared" si="3"/>
        <v>125.5</v>
      </c>
      <c r="Q45">
        <f t="shared" si="4"/>
        <v>67.5</v>
      </c>
      <c r="T45" t="s">
        <v>64</v>
      </c>
      <c r="U45" t="s">
        <v>45</v>
      </c>
      <c r="V45" t="s">
        <v>65</v>
      </c>
      <c r="W45" t="s">
        <v>99</v>
      </c>
      <c r="X45">
        <v>37.979999999999997</v>
      </c>
      <c r="Y45">
        <v>39.369999999999997</v>
      </c>
      <c r="Z45">
        <v>14.05</v>
      </c>
      <c r="AA45">
        <v>13.21</v>
      </c>
      <c r="AB45">
        <v>0.37</v>
      </c>
      <c r="AC45">
        <v>0.34</v>
      </c>
      <c r="AD45">
        <v>125</v>
      </c>
      <c r="AE45">
        <v>126</v>
      </c>
      <c r="AF45">
        <v>70</v>
      </c>
      <c r="AG45">
        <v>65</v>
      </c>
    </row>
    <row r="46" spans="1:93" x14ac:dyDescent="0.2">
      <c r="A46" t="s">
        <v>20</v>
      </c>
      <c r="B46" t="s">
        <v>21</v>
      </c>
      <c r="D46" t="s">
        <v>100</v>
      </c>
      <c r="E46">
        <v>229.8</v>
      </c>
      <c r="F46">
        <v>34.479999999999997</v>
      </c>
      <c r="G46">
        <v>0.17</v>
      </c>
      <c r="H46">
        <v>418.85</v>
      </c>
      <c r="I46">
        <v>67.48</v>
      </c>
      <c r="K46" t="s">
        <v>23</v>
      </c>
      <c r="L46" t="s">
        <v>100</v>
      </c>
      <c r="M46">
        <f t="shared" si="0"/>
        <v>4.29</v>
      </c>
      <c r="N46">
        <f t="shared" si="1"/>
        <v>12.04</v>
      </c>
      <c r="O46">
        <f t="shared" si="2"/>
        <v>3.2849999999999997</v>
      </c>
      <c r="P46">
        <f t="shared" si="3"/>
        <v>74</v>
      </c>
      <c r="Q46">
        <f t="shared" si="4"/>
        <v>44</v>
      </c>
      <c r="T46" t="s">
        <v>36</v>
      </c>
      <c r="U46" t="s">
        <v>45</v>
      </c>
      <c r="V46" t="s">
        <v>46</v>
      </c>
      <c r="W46" t="s">
        <v>100</v>
      </c>
      <c r="X46">
        <v>2.93</v>
      </c>
      <c r="Y46">
        <v>5.65</v>
      </c>
      <c r="Z46">
        <v>13.94</v>
      </c>
      <c r="AA46">
        <v>10.14</v>
      </c>
      <c r="AB46">
        <v>4.7699999999999996</v>
      </c>
      <c r="AC46">
        <v>1.8</v>
      </c>
      <c r="AD46">
        <v>66</v>
      </c>
      <c r="AE46">
        <v>82</v>
      </c>
      <c r="AF46">
        <v>41</v>
      </c>
      <c r="AG46">
        <v>47</v>
      </c>
    </row>
    <row r="47" spans="1:93" x14ac:dyDescent="0.2">
      <c r="A47" t="s">
        <v>20</v>
      </c>
      <c r="B47" t="s">
        <v>21</v>
      </c>
      <c r="D47" t="s">
        <v>101</v>
      </c>
      <c r="E47">
        <v>0.16</v>
      </c>
      <c r="F47">
        <v>0.26</v>
      </c>
      <c r="G47">
        <v>1.56</v>
      </c>
      <c r="H47">
        <v>61.15</v>
      </c>
      <c r="I47">
        <v>70.989999999999995</v>
      </c>
      <c r="K47" t="s">
        <v>23</v>
      </c>
      <c r="L47" t="s">
        <v>101</v>
      </c>
      <c r="M47">
        <f t="shared" si="0"/>
        <v>1.5175000000000001</v>
      </c>
      <c r="N47">
        <f t="shared" si="1"/>
        <v>9.1300000000000008</v>
      </c>
      <c r="O47">
        <f t="shared" si="2"/>
        <v>6.7250000000000005</v>
      </c>
      <c r="P47">
        <f t="shared" si="3"/>
        <v>53</v>
      </c>
      <c r="Q47">
        <f t="shared" si="4"/>
        <v>54.5</v>
      </c>
      <c r="T47" t="s">
        <v>36</v>
      </c>
      <c r="U47" t="s">
        <v>45</v>
      </c>
      <c r="V47" t="s">
        <v>46</v>
      </c>
      <c r="W47" t="s">
        <v>101</v>
      </c>
      <c r="X47">
        <v>0.08</v>
      </c>
      <c r="Y47">
        <v>0.08</v>
      </c>
      <c r="Z47">
        <v>0.65</v>
      </c>
      <c r="AA47">
        <v>0.38</v>
      </c>
      <c r="AB47">
        <v>8.6300000000000008</v>
      </c>
      <c r="AC47">
        <v>4.82</v>
      </c>
      <c r="AD47">
        <v>54</v>
      </c>
      <c r="AE47">
        <v>52</v>
      </c>
      <c r="AF47">
        <v>52</v>
      </c>
      <c r="AG47">
        <v>57</v>
      </c>
    </row>
    <row r="48" spans="1:93" x14ac:dyDescent="0.2">
      <c r="A48" t="s">
        <v>20</v>
      </c>
      <c r="B48" t="s">
        <v>21</v>
      </c>
      <c r="D48" t="s">
        <v>102</v>
      </c>
      <c r="E48">
        <v>1.55</v>
      </c>
      <c r="F48">
        <v>15.08</v>
      </c>
      <c r="G48">
        <v>9.93</v>
      </c>
      <c r="H48">
        <v>98.61</v>
      </c>
      <c r="I48">
        <v>70.569999999999993</v>
      </c>
      <c r="K48" t="s">
        <v>23</v>
      </c>
      <c r="L48" t="s">
        <v>102</v>
      </c>
      <c r="M48">
        <f t="shared" si="0"/>
        <v>2.5177380334999997</v>
      </c>
      <c r="N48">
        <f t="shared" si="1"/>
        <v>31.599763443499999</v>
      </c>
      <c r="O48">
        <f t="shared" si="2"/>
        <v>21.265193900299998</v>
      </c>
      <c r="P48">
        <f t="shared" si="3"/>
        <v>81.122565934999997</v>
      </c>
      <c r="Q48">
        <f t="shared" si="4"/>
        <v>55.120514467999996</v>
      </c>
      <c r="T48" t="s">
        <v>30</v>
      </c>
      <c r="U48" t="s">
        <v>31</v>
      </c>
      <c r="V48" t="s">
        <v>31</v>
      </c>
      <c r="W48" t="s">
        <v>102</v>
      </c>
      <c r="X48">
        <v>0.98</v>
      </c>
      <c r="Y48">
        <v>1.07</v>
      </c>
      <c r="Z48">
        <v>83.87</v>
      </c>
      <c r="AA48">
        <v>74.819999999999993</v>
      </c>
      <c r="AB48">
        <v>85.78</v>
      </c>
      <c r="AC48">
        <v>70.09</v>
      </c>
      <c r="AD48">
        <v>66.77</v>
      </c>
      <c r="AE48">
        <v>61.12</v>
      </c>
      <c r="AF48">
        <v>76.25</v>
      </c>
      <c r="AG48">
        <v>78.75</v>
      </c>
      <c r="AI48" t="s">
        <v>57</v>
      </c>
      <c r="AL48" t="s">
        <v>102</v>
      </c>
      <c r="AM48">
        <v>2.31</v>
      </c>
      <c r="AN48">
        <v>1.4</v>
      </c>
      <c r="AO48">
        <v>12.544703849999999</v>
      </c>
      <c r="AP48">
        <v>1.698965718</v>
      </c>
      <c r="AQ48">
        <v>5.4302165440000003</v>
      </c>
      <c r="AR48">
        <v>1.220611659</v>
      </c>
      <c r="AS48">
        <v>93.3</v>
      </c>
      <c r="AT48">
        <v>80.5</v>
      </c>
      <c r="AU48">
        <v>56</v>
      </c>
      <c r="AV48">
        <v>4</v>
      </c>
      <c r="AX48" t="s">
        <v>27</v>
      </c>
      <c r="AY48" t="s">
        <v>103</v>
      </c>
      <c r="BA48" t="s">
        <v>102</v>
      </c>
      <c r="BB48">
        <v>3.57</v>
      </c>
      <c r="BC48">
        <v>7.74</v>
      </c>
      <c r="BD48">
        <v>17.809999999999999</v>
      </c>
      <c r="BE48">
        <v>14.97</v>
      </c>
      <c r="BF48">
        <v>4.9800000000000004</v>
      </c>
      <c r="BG48">
        <v>1.93</v>
      </c>
      <c r="BH48">
        <v>90.61</v>
      </c>
      <c r="BI48">
        <v>94.88</v>
      </c>
      <c r="BJ48">
        <v>50.65</v>
      </c>
      <c r="BK48">
        <v>51.59</v>
      </c>
      <c r="BM48" t="s">
        <v>27</v>
      </c>
      <c r="BP48" t="s">
        <v>102</v>
      </c>
      <c r="BQ48">
        <v>2.57</v>
      </c>
      <c r="BR48">
        <v>3.34</v>
      </c>
      <c r="BS48">
        <v>20.420000000000002</v>
      </c>
      <c r="BT48">
        <v>15.07</v>
      </c>
      <c r="BU48">
        <v>7.95</v>
      </c>
      <c r="BV48">
        <v>4.51</v>
      </c>
      <c r="BW48">
        <v>77.28</v>
      </c>
      <c r="BX48">
        <v>85.52</v>
      </c>
      <c r="BY48">
        <v>57.21</v>
      </c>
      <c r="BZ48">
        <v>56.15</v>
      </c>
      <c r="CB48" t="s">
        <v>104</v>
      </c>
      <c r="CC48" t="s">
        <v>105</v>
      </c>
      <c r="CE48" t="s">
        <v>102</v>
      </c>
      <c r="CF48">
        <v>1.4631111800000001</v>
      </c>
      <c r="CG48">
        <v>1.6087930880000001</v>
      </c>
      <c r="CH48">
        <v>24.142067319999999</v>
      </c>
      <c r="CI48">
        <v>22.942370660000002</v>
      </c>
      <c r="CJ48">
        <v>16.500500880000001</v>
      </c>
      <c r="CK48">
        <v>14.26060992</v>
      </c>
      <c r="CL48">
        <v>81.874554040000007</v>
      </c>
      <c r="CM48">
        <v>79.371105310000004</v>
      </c>
      <c r="CN48">
        <v>60.338646410000003</v>
      </c>
      <c r="CO48">
        <v>60.26649827</v>
      </c>
    </row>
    <row r="49" spans="11:11" x14ac:dyDescent="0.2">
      <c r="K49" t="s">
        <v>23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82EF-F763-7240-85E4-585DAE091E3F}">
  <dimension ref="A1:BZ100"/>
  <sheetViews>
    <sheetView topLeftCell="H1" zoomScale="75" workbookViewId="0">
      <pane ySplit="1" topLeftCell="A2" activePane="bottomLeft" state="frozen"/>
      <selection activeCell="X1" sqref="X1"/>
      <selection pane="bottomLeft" activeCell="K2" sqref="K2:Q49"/>
    </sheetView>
  </sheetViews>
  <sheetFormatPr baseColWidth="10" defaultColWidth="11.5" defaultRowHeight="15" x14ac:dyDescent="0.2"/>
  <cols>
    <col min="4" max="4" width="13.5" bestFit="1" customWidth="1"/>
    <col min="12" max="12" width="13.5" bestFit="1" customWidth="1"/>
    <col min="20" max="20" width="11.5" customWidth="1"/>
    <col min="23" max="23" width="13.5" bestFit="1" customWidth="1"/>
  </cols>
  <sheetData>
    <row r="1" spans="1: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0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T1" t="s">
        <v>0</v>
      </c>
      <c r="U1" t="s">
        <v>1</v>
      </c>
      <c r="V1" t="s">
        <v>2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I1" t="s">
        <v>0</v>
      </c>
      <c r="AJ1" t="s">
        <v>1</v>
      </c>
      <c r="AK1" t="s">
        <v>2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AQ1" t="s">
        <v>14</v>
      </c>
      <c r="AR1" t="s">
        <v>15</v>
      </c>
      <c r="AS1" t="s">
        <v>16</v>
      </c>
      <c r="AT1" t="s">
        <v>17</v>
      </c>
      <c r="AU1" t="s">
        <v>18</v>
      </c>
      <c r="AV1" t="s">
        <v>19</v>
      </c>
      <c r="AX1" t="s">
        <v>0</v>
      </c>
      <c r="AY1" t="s">
        <v>1</v>
      </c>
      <c r="AZ1" t="s">
        <v>2</v>
      </c>
      <c r="BA1" t="s">
        <v>9</v>
      </c>
      <c r="BB1" t="s">
        <v>10</v>
      </c>
      <c r="BC1" t="s">
        <v>11</v>
      </c>
      <c r="BD1" t="s">
        <v>12</v>
      </c>
      <c r="BE1" t="s">
        <v>13</v>
      </c>
      <c r="BF1" t="s">
        <v>14</v>
      </c>
      <c r="BG1" t="s">
        <v>15</v>
      </c>
      <c r="BH1" t="s">
        <v>16</v>
      </c>
      <c r="BI1" t="s">
        <v>17</v>
      </c>
      <c r="BJ1" t="s">
        <v>18</v>
      </c>
      <c r="BK1" t="s">
        <v>19</v>
      </c>
      <c r="BM1" t="s">
        <v>0</v>
      </c>
      <c r="BN1" t="s">
        <v>1</v>
      </c>
      <c r="BO1" t="s">
        <v>2</v>
      </c>
      <c r="BP1" t="s">
        <v>9</v>
      </c>
      <c r="BQ1" t="s">
        <v>10</v>
      </c>
      <c r="BR1" t="s">
        <v>11</v>
      </c>
      <c r="BS1" t="s">
        <v>12</v>
      </c>
      <c r="BT1" t="s">
        <v>13</v>
      </c>
      <c r="BU1" t="s">
        <v>14</v>
      </c>
      <c r="BV1" t="s">
        <v>15</v>
      </c>
      <c r="BW1" t="s">
        <v>16</v>
      </c>
      <c r="BX1" t="s">
        <v>17</v>
      </c>
      <c r="BY1" t="s">
        <v>18</v>
      </c>
      <c r="BZ1" t="s">
        <v>19</v>
      </c>
    </row>
    <row r="2" spans="1:78" x14ac:dyDescent="0.2">
      <c r="A2" t="s">
        <v>106</v>
      </c>
      <c r="C2" t="s">
        <v>107</v>
      </c>
      <c r="E2">
        <v>11.37</v>
      </c>
      <c r="F2">
        <v>7.54</v>
      </c>
      <c r="G2">
        <v>0.69</v>
      </c>
      <c r="H2">
        <v>43.51</v>
      </c>
      <c r="I2">
        <v>64.05</v>
      </c>
      <c r="K2" t="s">
        <v>23</v>
      </c>
    </row>
    <row r="3" spans="1:78" x14ac:dyDescent="0.2">
      <c r="A3" t="s">
        <v>106</v>
      </c>
      <c r="C3" t="s">
        <v>108</v>
      </c>
      <c r="E3" t="e">
        <v>#VALUE!</v>
      </c>
      <c r="F3">
        <v>3.13</v>
      </c>
      <c r="G3" t="e">
        <v>#VALUE!</v>
      </c>
      <c r="H3">
        <v>72.260000000000005</v>
      </c>
      <c r="I3">
        <v>74.489999999999995</v>
      </c>
      <c r="K3" t="s">
        <v>23</v>
      </c>
    </row>
    <row r="4" spans="1:78" x14ac:dyDescent="0.2">
      <c r="A4" t="s">
        <v>106</v>
      </c>
      <c r="C4" t="s">
        <v>109</v>
      </c>
      <c r="E4">
        <v>0.78</v>
      </c>
      <c r="F4">
        <v>11.62</v>
      </c>
      <c r="G4">
        <v>14.5</v>
      </c>
      <c r="H4">
        <v>33.99</v>
      </c>
      <c r="I4">
        <v>33.11</v>
      </c>
      <c r="K4" t="s">
        <v>23</v>
      </c>
    </row>
    <row r="5" spans="1:78" x14ac:dyDescent="0.2">
      <c r="A5" t="s">
        <v>106</v>
      </c>
      <c r="D5" t="s">
        <v>110</v>
      </c>
      <c r="E5" t="e">
        <v>#VALUE!</v>
      </c>
      <c r="F5">
        <v>19.13</v>
      </c>
      <c r="G5" t="e">
        <v>#VALUE!</v>
      </c>
      <c r="H5" t="e">
        <v>#VALUE!</v>
      </c>
      <c r="I5">
        <v>530.58000000000004</v>
      </c>
      <c r="K5" t="s">
        <v>23</v>
      </c>
      <c r="L5" t="s">
        <v>110</v>
      </c>
      <c r="M5">
        <f>AVERAGE(X5,Y5,AM5,AN5,BB5,BC5,BQ6,BR6)</f>
        <v>2.5112227207499997</v>
      </c>
      <c r="N5">
        <f>AVERAGE(Z5,AA5,AO5,AP5,BD5,BE5,BS6,BT6)</f>
        <v>10.138341139857143</v>
      </c>
      <c r="O5">
        <f>AVERAGE(AB5,AC5,AQ5,AR5,BF5,BG5,BU6,BV6)</f>
        <v>7.4264388729999995</v>
      </c>
      <c r="P5">
        <f>AVERAGE(AD5,AE5,AS5,AT5,BH5,BI5,BW6,BX6)</f>
        <v>59.760330025000002</v>
      </c>
      <c r="Q5">
        <f>AVERAGE(AF5,AG5,AU5,AV5,BJ5,BK5,BY5,BZ5)</f>
        <v>41.755577717999998</v>
      </c>
      <c r="T5" t="s">
        <v>30</v>
      </c>
      <c r="U5" t="s">
        <v>31</v>
      </c>
      <c r="V5" t="s">
        <v>31</v>
      </c>
      <c r="W5" t="s">
        <v>110</v>
      </c>
      <c r="X5">
        <v>3.25</v>
      </c>
      <c r="Y5">
        <v>1.5</v>
      </c>
      <c r="Z5">
        <v>21.65</v>
      </c>
      <c r="AA5">
        <v>20.260000000000002</v>
      </c>
      <c r="AB5">
        <v>6.67</v>
      </c>
      <c r="AC5">
        <v>13.52</v>
      </c>
      <c r="AD5">
        <v>41.59</v>
      </c>
      <c r="AE5">
        <v>27.27</v>
      </c>
      <c r="AF5">
        <v>66.92</v>
      </c>
      <c r="AG5">
        <v>63.87</v>
      </c>
      <c r="AI5" t="s">
        <v>57</v>
      </c>
      <c r="AL5" t="s">
        <v>110</v>
      </c>
      <c r="AM5" t="s">
        <v>274</v>
      </c>
      <c r="AN5" t="s">
        <v>274</v>
      </c>
      <c r="AO5" t="s">
        <v>274</v>
      </c>
      <c r="AP5">
        <v>0.27450400600000002</v>
      </c>
      <c r="AQ5" t="s">
        <v>274</v>
      </c>
      <c r="AR5" t="s">
        <v>274</v>
      </c>
      <c r="AS5" t="s">
        <v>274</v>
      </c>
      <c r="AT5" t="s">
        <v>274</v>
      </c>
      <c r="AU5" t="s">
        <v>274</v>
      </c>
      <c r="AV5">
        <v>10</v>
      </c>
      <c r="AX5" t="s">
        <v>104</v>
      </c>
      <c r="AY5" t="s">
        <v>111</v>
      </c>
      <c r="BA5" t="s">
        <v>110</v>
      </c>
      <c r="BB5" t="s">
        <v>274</v>
      </c>
      <c r="BC5" t="s">
        <v>274</v>
      </c>
      <c r="BD5">
        <v>1.3319276950000001</v>
      </c>
      <c r="BE5">
        <v>3.067979266</v>
      </c>
      <c r="BF5" t="s">
        <v>274</v>
      </c>
      <c r="BG5" t="s">
        <v>274</v>
      </c>
      <c r="BH5" t="s">
        <v>274</v>
      </c>
      <c r="BI5" t="s">
        <v>274</v>
      </c>
      <c r="BJ5">
        <v>29.1991975</v>
      </c>
      <c r="BK5">
        <v>38.78869109</v>
      </c>
    </row>
    <row r="6" spans="1:78" x14ac:dyDescent="0.2">
      <c r="A6" t="s">
        <v>106</v>
      </c>
      <c r="D6" t="s">
        <v>112</v>
      </c>
      <c r="E6">
        <v>3.49</v>
      </c>
      <c r="F6">
        <v>4.87</v>
      </c>
      <c r="G6">
        <v>1.4</v>
      </c>
      <c r="H6">
        <v>92.17</v>
      </c>
      <c r="I6">
        <v>52.38</v>
      </c>
      <c r="K6" t="s">
        <v>23</v>
      </c>
      <c r="L6" t="s">
        <v>112</v>
      </c>
      <c r="M6">
        <f t="shared" ref="M6:M49" si="0">AVERAGE(X6,Y6,AM6,AN6,BB6,BC6,BQ7,BR7)</f>
        <v>3.1916666666666664</v>
      </c>
      <c r="N6">
        <f>AVERAGE(Z6,AA6,AO6,AP6,BD6,BE6,BS7,BT7)</f>
        <v>26.465211676666666</v>
      </c>
      <c r="O6">
        <f t="shared" ref="O6:O49" si="1">AVERAGE(AB6,AC6,AQ6,AR6,BF6,BG6,BU7,BV7)</f>
        <v>10.498153257999999</v>
      </c>
      <c r="P6">
        <f t="shared" ref="P6:P49" si="2">AVERAGE(AD6,AE6,AS6,AT6,BH6,BI6,BW7,BX7)</f>
        <v>81.228333333333339</v>
      </c>
      <c r="Q6">
        <f t="shared" ref="Q6:Q49" si="3">AVERAGE(AF6,AG6,AU6,AV6,BJ6,BK6,BY6,BZ6)</f>
        <v>61.550241047500002</v>
      </c>
      <c r="T6" t="s">
        <v>30</v>
      </c>
      <c r="U6" t="s">
        <v>31</v>
      </c>
      <c r="V6" t="s">
        <v>31</v>
      </c>
      <c r="W6" t="s">
        <v>112</v>
      </c>
      <c r="X6">
        <v>2.2200000000000002</v>
      </c>
      <c r="Y6">
        <v>2.2799999999999998</v>
      </c>
      <c r="Z6">
        <v>49.33</v>
      </c>
      <c r="AA6">
        <v>57.43</v>
      </c>
      <c r="AB6">
        <v>22.27</v>
      </c>
      <c r="AC6">
        <v>25.17</v>
      </c>
      <c r="AD6">
        <v>60.57</v>
      </c>
      <c r="AE6">
        <v>62.42</v>
      </c>
      <c r="AF6">
        <v>67.8</v>
      </c>
      <c r="AG6">
        <v>81.069999999999993</v>
      </c>
      <c r="AI6" t="s">
        <v>57</v>
      </c>
      <c r="AL6" t="s">
        <v>112</v>
      </c>
      <c r="AM6">
        <v>3.09</v>
      </c>
      <c r="AN6">
        <v>3.4</v>
      </c>
      <c r="AO6">
        <v>12.181854080000001</v>
      </c>
      <c r="AP6">
        <v>11.65941598</v>
      </c>
      <c r="AQ6">
        <v>3.9447918450000001</v>
      </c>
      <c r="AR6">
        <v>3.4441277029999999</v>
      </c>
      <c r="AS6">
        <v>104.8</v>
      </c>
      <c r="AT6">
        <v>106.9</v>
      </c>
      <c r="AU6">
        <v>70</v>
      </c>
      <c r="AV6">
        <v>65</v>
      </c>
      <c r="AX6" t="s">
        <v>27</v>
      </c>
      <c r="AY6" t="s">
        <v>28</v>
      </c>
      <c r="BA6" t="s">
        <v>112</v>
      </c>
      <c r="BB6">
        <v>2.34</v>
      </c>
      <c r="BC6">
        <v>5.82</v>
      </c>
      <c r="BD6">
        <v>13</v>
      </c>
      <c r="BE6">
        <v>15.19</v>
      </c>
      <c r="BF6">
        <v>5.55</v>
      </c>
      <c r="BG6">
        <v>2.61</v>
      </c>
      <c r="BH6">
        <v>72.11</v>
      </c>
      <c r="BI6">
        <v>80.569999999999993</v>
      </c>
      <c r="BJ6">
        <v>56.9</v>
      </c>
      <c r="BK6">
        <v>60.72</v>
      </c>
      <c r="BM6" t="s">
        <v>104</v>
      </c>
      <c r="BN6" t="s">
        <v>113</v>
      </c>
      <c r="BP6" t="s">
        <v>112</v>
      </c>
      <c r="BQ6">
        <v>2.4497016920000001</v>
      </c>
      <c r="BR6">
        <v>2.8451891909999998</v>
      </c>
      <c r="BS6">
        <v>16.663129120000001</v>
      </c>
      <c r="BT6">
        <v>7.7208478920000001</v>
      </c>
      <c r="BU6">
        <v>6.8021054059999999</v>
      </c>
      <c r="BV6">
        <v>2.7136500859999999</v>
      </c>
      <c r="BW6">
        <v>89.334172249999995</v>
      </c>
      <c r="BX6">
        <v>80.847147849999999</v>
      </c>
      <c r="BY6">
        <v>73.648430739999995</v>
      </c>
      <c r="BZ6">
        <v>17.263497640000001</v>
      </c>
    </row>
    <row r="7" spans="1:78" x14ac:dyDescent="0.2">
      <c r="A7" t="s">
        <v>106</v>
      </c>
      <c r="D7" t="s">
        <v>114</v>
      </c>
      <c r="E7" t="e">
        <v>#VALUE!</v>
      </c>
      <c r="F7" t="e">
        <v>#VALUE!</v>
      </c>
      <c r="G7" t="e">
        <v>#VALUE!</v>
      </c>
      <c r="H7" t="e">
        <v>#VALUE!</v>
      </c>
      <c r="I7" t="e">
        <v>#VALUE!</v>
      </c>
      <c r="K7" t="s">
        <v>23</v>
      </c>
      <c r="L7" t="s">
        <v>114</v>
      </c>
      <c r="M7">
        <f t="shared" si="0"/>
        <v>0.36959853799999998</v>
      </c>
      <c r="N7">
        <f t="shared" ref="N7:N49" si="4">AVERAGE(Z7,AA7,AO7,AP7,BD7,BE7,BS8,BT8)</f>
        <v>6.6052154025000007</v>
      </c>
      <c r="O7">
        <f t="shared" si="1"/>
        <v>18.182061595</v>
      </c>
      <c r="P7">
        <f t="shared" si="2"/>
        <v>91.680950929999995</v>
      </c>
      <c r="Q7" t="e">
        <f t="shared" si="3"/>
        <v>#DIV/0!</v>
      </c>
      <c r="T7" t="s">
        <v>64</v>
      </c>
      <c r="U7" t="s">
        <v>45</v>
      </c>
      <c r="V7" t="s">
        <v>65</v>
      </c>
      <c r="W7" t="s">
        <v>114</v>
      </c>
      <c r="X7" t="s">
        <v>274</v>
      </c>
      <c r="Y7" t="s">
        <v>274</v>
      </c>
      <c r="Z7" t="s">
        <v>274</v>
      </c>
      <c r="AA7" t="s">
        <v>274</v>
      </c>
      <c r="AB7" t="s">
        <v>274</v>
      </c>
      <c r="AC7" t="s">
        <v>274</v>
      </c>
      <c r="AD7" t="s">
        <v>274</v>
      </c>
      <c r="AE7" t="s">
        <v>274</v>
      </c>
      <c r="AF7" t="s">
        <v>274</v>
      </c>
      <c r="AG7" t="s">
        <v>274</v>
      </c>
    </row>
    <row r="8" spans="1:78" x14ac:dyDescent="0.2">
      <c r="A8" t="s">
        <v>106</v>
      </c>
      <c r="D8" t="s">
        <v>115</v>
      </c>
      <c r="E8">
        <v>8.24</v>
      </c>
      <c r="F8">
        <v>2.63</v>
      </c>
      <c r="G8">
        <v>0.32</v>
      </c>
      <c r="H8">
        <v>87.47</v>
      </c>
      <c r="I8">
        <v>77.31</v>
      </c>
      <c r="K8" t="s">
        <v>23</v>
      </c>
      <c r="L8" t="s">
        <v>115</v>
      </c>
      <c r="M8">
        <f t="shared" si="0"/>
        <v>0.78333333333333333</v>
      </c>
      <c r="N8">
        <f t="shared" si="4"/>
        <v>11.226124905999999</v>
      </c>
      <c r="O8">
        <f t="shared" si="1"/>
        <v>55.215969603999994</v>
      </c>
      <c r="P8">
        <f t="shared" si="2"/>
        <v>82.694999999999993</v>
      </c>
      <c r="Q8">
        <f t="shared" si="3"/>
        <v>76.829753355714274</v>
      </c>
      <c r="T8" t="s">
        <v>30</v>
      </c>
      <c r="U8" t="s">
        <v>31</v>
      </c>
      <c r="V8" t="s">
        <v>31</v>
      </c>
      <c r="W8" t="s">
        <v>115</v>
      </c>
      <c r="X8">
        <v>0.16</v>
      </c>
      <c r="Y8">
        <v>0.14000000000000001</v>
      </c>
      <c r="Z8">
        <v>20.55</v>
      </c>
      <c r="AA8">
        <v>19.11</v>
      </c>
      <c r="AB8">
        <v>125.56</v>
      </c>
      <c r="AC8">
        <v>133.19</v>
      </c>
      <c r="AD8">
        <v>60.34</v>
      </c>
      <c r="AE8">
        <v>65.89</v>
      </c>
      <c r="AF8">
        <v>81.05</v>
      </c>
      <c r="AG8">
        <v>79.37</v>
      </c>
      <c r="AI8" t="s">
        <v>57</v>
      </c>
      <c r="AL8" t="s">
        <v>115</v>
      </c>
      <c r="AM8">
        <v>0.46</v>
      </c>
      <c r="AN8">
        <v>0.4</v>
      </c>
      <c r="AO8" t="s">
        <v>274</v>
      </c>
      <c r="AP8">
        <v>4.0806245299999997</v>
      </c>
      <c r="AQ8" t="s">
        <v>274</v>
      </c>
      <c r="AR8">
        <v>10.17984802</v>
      </c>
      <c r="AS8">
        <v>96.4</v>
      </c>
      <c r="AT8">
        <v>83.4</v>
      </c>
      <c r="AU8" t="s">
        <v>274</v>
      </c>
      <c r="AV8">
        <v>79</v>
      </c>
      <c r="AX8" t="s">
        <v>27</v>
      </c>
      <c r="AY8" t="s">
        <v>28</v>
      </c>
      <c r="BA8" t="s">
        <v>115</v>
      </c>
      <c r="BB8">
        <v>2.0499999999999998</v>
      </c>
      <c r="BC8">
        <v>1.49</v>
      </c>
      <c r="BD8">
        <v>6.34</v>
      </c>
      <c r="BE8">
        <v>6.05</v>
      </c>
      <c r="BF8">
        <v>3.09</v>
      </c>
      <c r="BG8">
        <v>4.0599999999999996</v>
      </c>
      <c r="BH8">
        <v>95.98</v>
      </c>
      <c r="BI8">
        <v>94.16</v>
      </c>
      <c r="BJ8">
        <v>71.97</v>
      </c>
      <c r="BK8">
        <v>69.66</v>
      </c>
      <c r="BM8" t="s">
        <v>104</v>
      </c>
      <c r="BN8" t="s">
        <v>105</v>
      </c>
      <c r="BP8" t="s">
        <v>115</v>
      </c>
      <c r="BQ8">
        <v>0.411209773</v>
      </c>
      <c r="BR8">
        <v>0.32798730300000001</v>
      </c>
      <c r="BS8">
        <v>6.3416928720000003</v>
      </c>
      <c r="BT8">
        <v>6.8687379330000002</v>
      </c>
      <c r="BU8">
        <v>15.42203832</v>
      </c>
      <c r="BV8">
        <v>20.942084869999999</v>
      </c>
      <c r="BW8">
        <v>90.431637820000006</v>
      </c>
      <c r="BX8">
        <v>92.930264039999997</v>
      </c>
      <c r="BY8">
        <v>75.854938430000004</v>
      </c>
      <c r="BZ8">
        <v>80.903335060000003</v>
      </c>
    </row>
    <row r="9" spans="1:78" x14ac:dyDescent="0.2">
      <c r="A9" t="s">
        <v>106</v>
      </c>
      <c r="D9" t="s">
        <v>116</v>
      </c>
      <c r="E9" t="e">
        <v>#VALUE!</v>
      </c>
      <c r="F9" t="e">
        <v>#VALUE!</v>
      </c>
      <c r="G9" t="e">
        <v>#VALUE!</v>
      </c>
      <c r="H9" t="e">
        <v>#VALUE!</v>
      </c>
      <c r="I9" t="e">
        <v>#VALUE!</v>
      </c>
      <c r="K9" t="s">
        <v>23</v>
      </c>
      <c r="L9" t="s">
        <v>116</v>
      </c>
      <c r="M9" t="e">
        <f t="shared" si="0"/>
        <v>#DIV/0!</v>
      </c>
      <c r="N9">
        <f t="shared" si="4"/>
        <v>56.03</v>
      </c>
      <c r="O9" t="e">
        <f t="shared" si="1"/>
        <v>#DIV/0!</v>
      </c>
      <c r="P9" t="e">
        <f t="shared" si="2"/>
        <v>#DIV/0!</v>
      </c>
      <c r="Q9">
        <f t="shared" si="3"/>
        <v>58.175000000000004</v>
      </c>
      <c r="T9" t="s">
        <v>30</v>
      </c>
      <c r="U9" t="s">
        <v>31</v>
      </c>
      <c r="V9" t="s">
        <v>31</v>
      </c>
      <c r="W9" t="s">
        <v>116</v>
      </c>
      <c r="X9" t="s">
        <v>274</v>
      </c>
      <c r="Y9" t="s">
        <v>274</v>
      </c>
      <c r="Z9">
        <v>52.09</v>
      </c>
      <c r="AA9">
        <v>59.97</v>
      </c>
      <c r="AB9" t="s">
        <v>274</v>
      </c>
      <c r="AC9" t="s">
        <v>274</v>
      </c>
      <c r="AD9" t="s">
        <v>274</v>
      </c>
      <c r="AE9" t="s">
        <v>274</v>
      </c>
      <c r="AF9">
        <v>50.59</v>
      </c>
      <c r="AG9">
        <v>65.760000000000005</v>
      </c>
    </row>
    <row r="10" spans="1:78" x14ac:dyDescent="0.2">
      <c r="A10" t="s">
        <v>106</v>
      </c>
      <c r="D10" t="s">
        <v>117</v>
      </c>
      <c r="E10">
        <v>5.28</v>
      </c>
      <c r="F10">
        <v>8.56</v>
      </c>
      <c r="G10">
        <v>1.84</v>
      </c>
      <c r="H10">
        <v>55.52</v>
      </c>
      <c r="I10">
        <v>59.02</v>
      </c>
      <c r="K10" t="s">
        <v>23</v>
      </c>
      <c r="L10" t="s">
        <v>117</v>
      </c>
      <c r="M10">
        <f t="shared" si="0"/>
        <v>0.54129414600000003</v>
      </c>
      <c r="N10">
        <f t="shared" si="4"/>
        <v>12.338292969999999</v>
      </c>
      <c r="O10">
        <f t="shared" si="1"/>
        <v>44.144574274999997</v>
      </c>
      <c r="P10">
        <f t="shared" si="2"/>
        <v>100.5218265975</v>
      </c>
      <c r="Q10">
        <f t="shared" si="3"/>
        <v>74.535198770000008</v>
      </c>
      <c r="T10" t="s">
        <v>24</v>
      </c>
      <c r="U10" t="s">
        <v>75</v>
      </c>
      <c r="V10" t="s">
        <v>26</v>
      </c>
      <c r="W10" t="s">
        <v>117</v>
      </c>
      <c r="X10" t="s">
        <v>274</v>
      </c>
      <c r="Y10" t="s">
        <v>274</v>
      </c>
      <c r="Z10">
        <v>1.38</v>
      </c>
      <c r="AA10">
        <v>0.95</v>
      </c>
      <c r="AB10" t="s">
        <v>274</v>
      </c>
      <c r="AC10" t="s">
        <v>274</v>
      </c>
      <c r="AD10" t="s">
        <v>274</v>
      </c>
      <c r="AE10" t="s">
        <v>274</v>
      </c>
      <c r="AF10">
        <v>44</v>
      </c>
      <c r="AG10">
        <v>43</v>
      </c>
      <c r="AI10" t="s">
        <v>57</v>
      </c>
      <c r="AL10" t="s">
        <v>117</v>
      </c>
      <c r="AM10">
        <v>0.21</v>
      </c>
      <c r="AN10">
        <v>0.4</v>
      </c>
      <c r="AO10">
        <v>18.684609349999999</v>
      </c>
      <c r="AP10">
        <v>12.957518159999999</v>
      </c>
      <c r="AQ10">
        <v>89.287848400000001</v>
      </c>
      <c r="AR10">
        <v>32.132119009999997</v>
      </c>
      <c r="AS10">
        <v>106</v>
      </c>
      <c r="AT10">
        <v>140.4</v>
      </c>
      <c r="AU10">
        <v>98</v>
      </c>
      <c r="AV10">
        <v>112</v>
      </c>
      <c r="AX10" t="s">
        <v>104</v>
      </c>
      <c r="AY10" t="s">
        <v>111</v>
      </c>
      <c r="BA10" t="s">
        <v>117</v>
      </c>
      <c r="BB10">
        <v>0.952297175</v>
      </c>
      <c r="BC10">
        <v>0.60287940900000003</v>
      </c>
      <c r="BD10">
        <v>18.54298442</v>
      </c>
      <c r="BE10">
        <v>21.514645890000001</v>
      </c>
      <c r="BF10">
        <v>19.471846500000002</v>
      </c>
      <c r="BG10">
        <v>35.686483189999997</v>
      </c>
      <c r="BH10">
        <v>83.366668140000002</v>
      </c>
      <c r="BI10">
        <v>72.320638250000002</v>
      </c>
      <c r="BJ10">
        <v>72.739670290000007</v>
      </c>
      <c r="BK10">
        <v>77.471522329999999</v>
      </c>
    </row>
    <row r="11" spans="1:78" x14ac:dyDescent="0.2">
      <c r="A11" t="s">
        <v>106</v>
      </c>
      <c r="D11" t="s">
        <v>118</v>
      </c>
      <c r="E11" t="e">
        <v>#VALUE!</v>
      </c>
      <c r="F11">
        <v>8.08</v>
      </c>
      <c r="G11" t="e">
        <v>#VALUE!</v>
      </c>
      <c r="H11" t="e">
        <v>#VALUE!</v>
      </c>
      <c r="I11">
        <v>211.39</v>
      </c>
      <c r="K11" t="s">
        <v>23</v>
      </c>
      <c r="L11" t="s">
        <v>118</v>
      </c>
      <c r="M11" t="e">
        <f t="shared" si="0"/>
        <v>#DIV/0!</v>
      </c>
      <c r="N11">
        <f t="shared" si="4"/>
        <v>4.3149999999999995</v>
      </c>
      <c r="O11" t="e">
        <f t="shared" si="1"/>
        <v>#DIV/0!</v>
      </c>
      <c r="P11" t="e">
        <f t="shared" si="2"/>
        <v>#DIV/0!</v>
      </c>
      <c r="Q11">
        <f t="shared" si="3"/>
        <v>30.5</v>
      </c>
      <c r="T11" t="s">
        <v>36</v>
      </c>
      <c r="U11" t="s">
        <v>45</v>
      </c>
      <c r="V11" t="s">
        <v>46</v>
      </c>
      <c r="W11" t="s">
        <v>118</v>
      </c>
      <c r="X11" t="s">
        <v>63</v>
      </c>
      <c r="Y11" t="s">
        <v>63</v>
      </c>
      <c r="Z11">
        <v>5.0999999999999996</v>
      </c>
      <c r="AA11">
        <v>3.53</v>
      </c>
      <c r="AB11" t="s">
        <v>274</v>
      </c>
      <c r="AC11" t="s">
        <v>274</v>
      </c>
      <c r="AD11" t="s">
        <v>274</v>
      </c>
      <c r="AE11" t="s">
        <v>274</v>
      </c>
      <c r="AF11">
        <v>35</v>
      </c>
      <c r="AG11">
        <v>26</v>
      </c>
    </row>
    <row r="12" spans="1:78" x14ac:dyDescent="0.2">
      <c r="A12" t="s">
        <v>106</v>
      </c>
      <c r="D12" t="s">
        <v>119</v>
      </c>
      <c r="E12" t="e">
        <v>#VALUE!</v>
      </c>
      <c r="F12" t="e">
        <v>#VALUE!</v>
      </c>
      <c r="G12" t="e">
        <v>#VALUE!</v>
      </c>
      <c r="H12" t="e">
        <v>#VALUE!</v>
      </c>
      <c r="I12" t="e">
        <v>#VALUE!</v>
      </c>
      <c r="K12" t="s">
        <v>23</v>
      </c>
      <c r="L12" t="s">
        <v>119</v>
      </c>
      <c r="M12">
        <f t="shared" si="0"/>
        <v>221.51499999999999</v>
      </c>
      <c r="N12" t="e">
        <f t="shared" si="4"/>
        <v>#DIV/0!</v>
      </c>
      <c r="O12" t="e">
        <f t="shared" si="1"/>
        <v>#DIV/0!</v>
      </c>
      <c r="P12">
        <f t="shared" si="2"/>
        <v>417.5</v>
      </c>
      <c r="Q12" t="e">
        <f t="shared" si="3"/>
        <v>#DIV/0!</v>
      </c>
      <c r="T12" t="s">
        <v>64</v>
      </c>
      <c r="U12" t="s">
        <v>45</v>
      </c>
      <c r="V12" t="s">
        <v>65</v>
      </c>
      <c r="W12" t="s">
        <v>119</v>
      </c>
      <c r="X12">
        <v>159.26</v>
      </c>
      <c r="Y12">
        <v>283.77</v>
      </c>
      <c r="Z12" t="s">
        <v>274</v>
      </c>
      <c r="AA12" t="s">
        <v>274</v>
      </c>
      <c r="AB12" t="s">
        <v>274</v>
      </c>
      <c r="AC12" t="s">
        <v>274</v>
      </c>
      <c r="AD12">
        <v>311</v>
      </c>
      <c r="AE12">
        <v>524</v>
      </c>
      <c r="AF12" t="s">
        <v>274</v>
      </c>
      <c r="AG12" t="s">
        <v>274</v>
      </c>
    </row>
    <row r="13" spans="1:78" x14ac:dyDescent="0.2">
      <c r="A13" t="s">
        <v>106</v>
      </c>
      <c r="D13" t="s">
        <v>120</v>
      </c>
      <c r="E13">
        <v>13.19</v>
      </c>
      <c r="F13">
        <v>10.78</v>
      </c>
      <c r="G13">
        <v>0.92</v>
      </c>
      <c r="H13">
        <v>94.32</v>
      </c>
      <c r="I13">
        <v>61.39</v>
      </c>
      <c r="K13" t="s">
        <v>23</v>
      </c>
      <c r="L13" t="s">
        <v>120</v>
      </c>
      <c r="M13">
        <f t="shared" si="0"/>
        <v>8.5304879170000003</v>
      </c>
      <c r="N13">
        <f t="shared" si="4"/>
        <v>50.46587084883334</v>
      </c>
      <c r="O13">
        <f t="shared" si="1"/>
        <v>5.0538583553333334</v>
      </c>
      <c r="P13">
        <f t="shared" si="2"/>
        <v>72.485937961666664</v>
      </c>
      <c r="Q13">
        <f t="shared" si="3"/>
        <v>60.67518295</v>
      </c>
      <c r="T13" t="s">
        <v>30</v>
      </c>
      <c r="U13" t="s">
        <v>31</v>
      </c>
      <c r="V13" t="s">
        <v>31</v>
      </c>
      <c r="W13" t="s">
        <v>120</v>
      </c>
      <c r="X13">
        <v>10.66</v>
      </c>
      <c r="Y13">
        <v>11.39</v>
      </c>
      <c r="Z13">
        <v>114.61</v>
      </c>
      <c r="AA13">
        <v>124.29</v>
      </c>
      <c r="AB13">
        <v>10.75</v>
      </c>
      <c r="AC13">
        <v>10.91</v>
      </c>
      <c r="AD13">
        <v>69.84</v>
      </c>
      <c r="AE13">
        <v>74.569999999999993</v>
      </c>
      <c r="AF13">
        <v>84.62</v>
      </c>
      <c r="AG13">
        <v>89.22</v>
      </c>
      <c r="AI13" t="s">
        <v>57</v>
      </c>
      <c r="AL13" t="s">
        <v>120</v>
      </c>
      <c r="AM13">
        <v>5.88</v>
      </c>
      <c r="AN13">
        <v>5</v>
      </c>
      <c r="AO13">
        <v>3.202568173</v>
      </c>
      <c r="AP13">
        <v>16.002940070000001</v>
      </c>
      <c r="AQ13">
        <v>0.54505663199999999</v>
      </c>
      <c r="AR13">
        <v>3.1919208590000001</v>
      </c>
      <c r="AS13">
        <v>73.8</v>
      </c>
      <c r="AT13">
        <v>68.2</v>
      </c>
      <c r="AU13">
        <v>5</v>
      </c>
      <c r="AV13">
        <v>55</v>
      </c>
      <c r="AX13" t="s">
        <v>104</v>
      </c>
      <c r="AY13" t="s">
        <v>121</v>
      </c>
      <c r="BA13" t="s">
        <v>120</v>
      </c>
      <c r="BB13">
        <v>9.6278092589999993</v>
      </c>
      <c r="BC13">
        <v>8.6251182429999993</v>
      </c>
      <c r="BD13">
        <v>21.132931469999999</v>
      </c>
      <c r="BE13">
        <v>23.556785380000001</v>
      </c>
      <c r="BF13">
        <v>2.1949885899999999</v>
      </c>
      <c r="BG13">
        <v>2.7311840510000001</v>
      </c>
      <c r="BH13">
        <v>77.873257359999997</v>
      </c>
      <c r="BI13">
        <v>70.632370409999993</v>
      </c>
      <c r="BJ13">
        <v>66.723115390000004</v>
      </c>
      <c r="BK13">
        <v>63.48798231</v>
      </c>
    </row>
    <row r="14" spans="1:78" x14ac:dyDescent="0.2">
      <c r="A14" t="s">
        <v>106</v>
      </c>
      <c r="D14" t="s">
        <v>122</v>
      </c>
      <c r="E14" t="e">
        <v>#VALUE!</v>
      </c>
      <c r="F14">
        <v>22.53</v>
      </c>
      <c r="G14" t="e">
        <v>#VALUE!</v>
      </c>
      <c r="H14" t="e">
        <v>#VALUE!</v>
      </c>
      <c r="I14">
        <v>49.9</v>
      </c>
      <c r="K14" t="s">
        <v>23</v>
      </c>
      <c r="L14" t="s">
        <v>122</v>
      </c>
      <c r="M14">
        <f t="shared" si="0"/>
        <v>1.1599999999999999</v>
      </c>
      <c r="N14">
        <f t="shared" si="4"/>
        <v>32.5</v>
      </c>
      <c r="O14">
        <f t="shared" si="1"/>
        <v>27.869999999999997</v>
      </c>
      <c r="P14">
        <f t="shared" si="2"/>
        <v>77</v>
      </c>
      <c r="Q14">
        <f t="shared" si="3"/>
        <v>72.5</v>
      </c>
      <c r="T14" t="s">
        <v>64</v>
      </c>
      <c r="U14" t="s">
        <v>45</v>
      </c>
      <c r="V14" t="s">
        <v>65</v>
      </c>
      <c r="W14" t="s">
        <v>122</v>
      </c>
      <c r="X14">
        <v>1.1399999999999999</v>
      </c>
      <c r="Y14">
        <v>1.18</v>
      </c>
      <c r="Z14">
        <v>30.23</v>
      </c>
      <c r="AA14">
        <v>34.770000000000003</v>
      </c>
      <c r="AB14">
        <v>26.4</v>
      </c>
      <c r="AC14">
        <v>29.34</v>
      </c>
      <c r="AD14">
        <v>75</v>
      </c>
      <c r="AE14">
        <v>79</v>
      </c>
      <c r="AF14">
        <v>75</v>
      </c>
      <c r="AG14">
        <v>70</v>
      </c>
    </row>
    <row r="15" spans="1:78" x14ac:dyDescent="0.2">
      <c r="A15" t="s">
        <v>106</v>
      </c>
      <c r="D15" t="s">
        <v>123</v>
      </c>
      <c r="E15">
        <v>4.95</v>
      </c>
      <c r="F15">
        <v>4.3899999999999997</v>
      </c>
      <c r="G15">
        <v>1.08</v>
      </c>
      <c r="H15">
        <v>79.66</v>
      </c>
      <c r="I15">
        <v>51.33</v>
      </c>
      <c r="K15" t="s">
        <v>23</v>
      </c>
      <c r="L15" t="s">
        <v>123</v>
      </c>
      <c r="M15">
        <f t="shared" si="0"/>
        <v>11.295</v>
      </c>
      <c r="N15">
        <f t="shared" si="4"/>
        <v>6.1400000000000006</v>
      </c>
      <c r="O15">
        <f t="shared" si="1"/>
        <v>0.54</v>
      </c>
      <c r="P15">
        <f t="shared" si="2"/>
        <v>78</v>
      </c>
      <c r="Q15">
        <f t="shared" si="3"/>
        <v>47.5</v>
      </c>
      <c r="T15" t="s">
        <v>36</v>
      </c>
      <c r="U15" t="s">
        <v>45</v>
      </c>
      <c r="V15" t="s">
        <v>46</v>
      </c>
      <c r="W15" t="s">
        <v>123</v>
      </c>
      <c r="X15">
        <v>12.11</v>
      </c>
      <c r="Y15">
        <v>10.48</v>
      </c>
      <c r="Z15">
        <v>6.58</v>
      </c>
      <c r="AA15">
        <v>5.7</v>
      </c>
      <c r="AB15">
        <v>0.54</v>
      </c>
      <c r="AC15">
        <v>0.54</v>
      </c>
      <c r="AD15">
        <v>80</v>
      </c>
      <c r="AE15">
        <v>76</v>
      </c>
      <c r="AF15">
        <v>46</v>
      </c>
      <c r="AG15">
        <v>49</v>
      </c>
    </row>
    <row r="16" spans="1:78" x14ac:dyDescent="0.2">
      <c r="A16" t="s">
        <v>106</v>
      </c>
      <c r="D16" t="s">
        <v>124</v>
      </c>
      <c r="E16" t="e">
        <v>#VALUE!</v>
      </c>
      <c r="F16">
        <v>2.31</v>
      </c>
      <c r="G16" t="e">
        <v>#VALUE!</v>
      </c>
      <c r="H16" t="e">
        <v>#VALUE!</v>
      </c>
      <c r="I16">
        <v>166.96</v>
      </c>
      <c r="K16" t="s">
        <v>23</v>
      </c>
      <c r="L16" t="s">
        <v>124</v>
      </c>
      <c r="M16" t="e">
        <f t="shared" si="0"/>
        <v>#DIV/0!</v>
      </c>
      <c r="N16">
        <f t="shared" si="4"/>
        <v>1.7050000000000001</v>
      </c>
      <c r="O16" t="e">
        <f t="shared" si="1"/>
        <v>#DIV/0!</v>
      </c>
      <c r="P16" t="e">
        <f t="shared" si="2"/>
        <v>#DIV/0!</v>
      </c>
      <c r="Q16">
        <f t="shared" si="3"/>
        <v>73.5</v>
      </c>
      <c r="T16" t="s">
        <v>64</v>
      </c>
      <c r="U16" t="s">
        <v>45</v>
      </c>
      <c r="V16" t="s">
        <v>65</v>
      </c>
      <c r="W16" t="s">
        <v>124</v>
      </c>
      <c r="X16" t="s">
        <v>274</v>
      </c>
      <c r="Y16" t="s">
        <v>274</v>
      </c>
      <c r="Z16">
        <v>1.87</v>
      </c>
      <c r="AA16">
        <v>1.54</v>
      </c>
      <c r="AB16" t="s">
        <v>274</v>
      </c>
      <c r="AC16" t="s">
        <v>274</v>
      </c>
      <c r="AD16" t="s">
        <v>274</v>
      </c>
      <c r="AE16" t="s">
        <v>274</v>
      </c>
      <c r="AF16">
        <v>74</v>
      </c>
      <c r="AG16">
        <v>73</v>
      </c>
    </row>
    <row r="17" spans="1:78" x14ac:dyDescent="0.2">
      <c r="A17" t="s">
        <v>106</v>
      </c>
      <c r="D17" t="s">
        <v>125</v>
      </c>
      <c r="E17" t="e">
        <v>#VALUE!</v>
      </c>
      <c r="F17">
        <v>0.22</v>
      </c>
      <c r="G17" t="e">
        <v>#VALUE!</v>
      </c>
      <c r="H17" t="e">
        <v>#VALUE!</v>
      </c>
      <c r="I17">
        <v>53.15</v>
      </c>
      <c r="K17" t="s">
        <v>23</v>
      </c>
      <c r="L17" t="s">
        <v>125</v>
      </c>
      <c r="M17">
        <f t="shared" si="0"/>
        <v>0.40263646500000005</v>
      </c>
      <c r="N17">
        <f t="shared" si="4"/>
        <v>1.2738040477499999</v>
      </c>
      <c r="O17">
        <f t="shared" si="1"/>
        <v>4.0276240227500004</v>
      </c>
      <c r="P17">
        <f t="shared" si="2"/>
        <v>39.421226087500003</v>
      </c>
      <c r="Q17">
        <f t="shared" si="3"/>
        <v>43</v>
      </c>
      <c r="T17" t="s">
        <v>24</v>
      </c>
      <c r="U17" t="s">
        <v>25</v>
      </c>
      <c r="V17" t="s">
        <v>26</v>
      </c>
      <c r="W17" t="s">
        <v>125</v>
      </c>
      <c r="X17">
        <v>0.64</v>
      </c>
      <c r="Y17">
        <v>0.81</v>
      </c>
      <c r="Z17">
        <v>1.88</v>
      </c>
      <c r="AA17">
        <v>2.42</v>
      </c>
      <c r="AB17">
        <v>2.95</v>
      </c>
      <c r="AC17">
        <v>2.99</v>
      </c>
      <c r="AD17">
        <v>63</v>
      </c>
      <c r="AE17">
        <v>61</v>
      </c>
      <c r="AF17">
        <v>45</v>
      </c>
      <c r="AG17">
        <v>41</v>
      </c>
    </row>
    <row r="18" spans="1:78" x14ac:dyDescent="0.2">
      <c r="A18" t="s">
        <v>106</v>
      </c>
      <c r="D18" t="s">
        <v>126</v>
      </c>
      <c r="E18" t="e">
        <v>#VALUE!</v>
      </c>
      <c r="F18" t="e">
        <v>#VALUE!</v>
      </c>
      <c r="G18" t="e">
        <v>#VALUE!</v>
      </c>
      <c r="H18" t="e">
        <v>#VALUE!</v>
      </c>
      <c r="I18" t="e">
        <v>#VALUE!</v>
      </c>
      <c r="K18" t="s">
        <v>23</v>
      </c>
      <c r="L18" t="s">
        <v>126</v>
      </c>
      <c r="M18">
        <f t="shared" si="0"/>
        <v>0.77500000000000002</v>
      </c>
      <c r="N18">
        <f t="shared" si="4"/>
        <v>0.81155801939999994</v>
      </c>
      <c r="O18">
        <f t="shared" si="1"/>
        <v>20.865000000000002</v>
      </c>
      <c r="P18">
        <f t="shared" si="2"/>
        <v>27.380000000000003</v>
      </c>
      <c r="Q18">
        <f t="shared" si="3"/>
        <v>47.37312630571428</v>
      </c>
      <c r="T18" t="s">
        <v>30</v>
      </c>
      <c r="U18" t="s">
        <v>31</v>
      </c>
      <c r="V18" t="s">
        <v>31</v>
      </c>
      <c r="W18" t="s">
        <v>126</v>
      </c>
      <c r="X18">
        <v>0.02</v>
      </c>
      <c r="Y18">
        <v>0.03</v>
      </c>
      <c r="Z18">
        <v>0.78</v>
      </c>
      <c r="AA18">
        <v>0.9</v>
      </c>
      <c r="AB18">
        <v>51.82</v>
      </c>
      <c r="AC18">
        <v>30.16</v>
      </c>
      <c r="AD18">
        <v>42.14</v>
      </c>
      <c r="AE18">
        <v>39.06</v>
      </c>
      <c r="AF18">
        <v>59.62</v>
      </c>
      <c r="AG18">
        <v>62.26</v>
      </c>
      <c r="AI18" t="s">
        <v>57</v>
      </c>
      <c r="AL18" t="s">
        <v>126</v>
      </c>
      <c r="AM18" t="s">
        <v>274</v>
      </c>
      <c r="AN18" t="s">
        <v>274</v>
      </c>
      <c r="AO18">
        <v>0.14779009700000001</v>
      </c>
      <c r="AP18" t="s">
        <v>274</v>
      </c>
      <c r="AQ18" t="s">
        <v>274</v>
      </c>
      <c r="AR18" t="s">
        <v>274</v>
      </c>
      <c r="AS18" t="s">
        <v>274</v>
      </c>
      <c r="AT18" t="s">
        <v>274</v>
      </c>
      <c r="AU18">
        <v>48</v>
      </c>
      <c r="AV18" t="s">
        <v>274</v>
      </c>
      <c r="AX18" t="s">
        <v>27</v>
      </c>
      <c r="AY18" t="s">
        <v>103</v>
      </c>
      <c r="BA18" t="s">
        <v>126</v>
      </c>
      <c r="BB18">
        <v>1.61</v>
      </c>
      <c r="BC18">
        <v>1.44</v>
      </c>
      <c r="BD18">
        <v>0.88</v>
      </c>
      <c r="BE18">
        <v>1.35</v>
      </c>
      <c r="BF18">
        <v>0.55000000000000004</v>
      </c>
      <c r="BG18">
        <v>0.93</v>
      </c>
      <c r="BH18">
        <v>17.28</v>
      </c>
      <c r="BI18">
        <v>11.04</v>
      </c>
      <c r="BJ18">
        <v>42.77</v>
      </c>
      <c r="BK18">
        <v>37.979999999999997</v>
      </c>
      <c r="BM18" t="s">
        <v>104</v>
      </c>
      <c r="BN18" t="s">
        <v>127</v>
      </c>
      <c r="BP18" t="s">
        <v>126</v>
      </c>
      <c r="BQ18">
        <v>9.3812821000000005E-2</v>
      </c>
      <c r="BR18">
        <v>6.6733038999999994E-2</v>
      </c>
      <c r="BS18">
        <v>0.40362036499999998</v>
      </c>
      <c r="BT18">
        <v>0.39159582599999998</v>
      </c>
      <c r="BU18">
        <v>4.3024008690000004</v>
      </c>
      <c r="BV18">
        <v>5.868095222</v>
      </c>
      <c r="BW18">
        <v>16.582448190000001</v>
      </c>
      <c r="BX18">
        <v>17.102456159999999</v>
      </c>
      <c r="BY18">
        <v>40.314810450000003</v>
      </c>
      <c r="BZ18">
        <v>40.667073690000002</v>
      </c>
    </row>
    <row r="19" spans="1:78" x14ac:dyDescent="0.2">
      <c r="A19" t="s">
        <v>106</v>
      </c>
      <c r="D19" t="s">
        <v>128</v>
      </c>
      <c r="E19">
        <v>4.47</v>
      </c>
      <c r="F19">
        <v>6.6</v>
      </c>
      <c r="G19">
        <v>4.21</v>
      </c>
      <c r="H19">
        <v>32.619999999999997</v>
      </c>
      <c r="I19">
        <v>25.81</v>
      </c>
      <c r="K19" t="s">
        <v>23</v>
      </c>
      <c r="L19" t="s">
        <v>128</v>
      </c>
      <c r="M19">
        <f t="shared" si="0"/>
        <v>2.0049999999999999</v>
      </c>
      <c r="N19">
        <f t="shared" si="4"/>
        <v>5.2200000000000006</v>
      </c>
      <c r="O19">
        <f t="shared" si="1"/>
        <v>2.6150000000000002</v>
      </c>
      <c r="P19">
        <f t="shared" si="2"/>
        <v>62.5</v>
      </c>
      <c r="Q19">
        <f t="shared" si="3"/>
        <v>54</v>
      </c>
      <c r="T19" t="s">
        <v>24</v>
      </c>
      <c r="U19" t="s">
        <v>25</v>
      </c>
      <c r="V19" t="s">
        <v>26</v>
      </c>
      <c r="W19" t="s">
        <v>128</v>
      </c>
      <c r="X19">
        <v>1.92</v>
      </c>
      <c r="Y19">
        <v>2.09</v>
      </c>
      <c r="Z19">
        <v>5.36</v>
      </c>
      <c r="AA19">
        <v>5.08</v>
      </c>
      <c r="AB19">
        <v>2.8</v>
      </c>
      <c r="AC19">
        <v>2.4300000000000002</v>
      </c>
      <c r="AD19">
        <v>55</v>
      </c>
      <c r="AE19">
        <v>70</v>
      </c>
      <c r="AF19">
        <v>55</v>
      </c>
      <c r="AG19">
        <v>53</v>
      </c>
    </row>
    <row r="20" spans="1:78" x14ac:dyDescent="0.2">
      <c r="A20" t="s">
        <v>106</v>
      </c>
      <c r="D20" t="s">
        <v>129</v>
      </c>
      <c r="E20">
        <v>13.99</v>
      </c>
      <c r="F20">
        <v>4.46</v>
      </c>
      <c r="G20">
        <v>0.32</v>
      </c>
      <c r="H20">
        <v>48.07</v>
      </c>
      <c r="I20">
        <v>30.82</v>
      </c>
      <c r="K20" t="s">
        <v>23</v>
      </c>
      <c r="L20" t="s">
        <v>129</v>
      </c>
      <c r="M20" t="e">
        <f t="shared" si="0"/>
        <v>#DIV/0!</v>
      </c>
      <c r="N20">
        <f t="shared" si="4"/>
        <v>10.625</v>
      </c>
      <c r="O20" t="e">
        <f t="shared" si="1"/>
        <v>#DIV/0!</v>
      </c>
      <c r="P20" t="e">
        <f t="shared" si="2"/>
        <v>#DIV/0!</v>
      </c>
      <c r="Q20">
        <f t="shared" si="3"/>
        <v>66.5</v>
      </c>
      <c r="T20" t="s">
        <v>24</v>
      </c>
      <c r="U20" t="s">
        <v>75</v>
      </c>
      <c r="V20" t="s">
        <v>26</v>
      </c>
      <c r="W20" t="s">
        <v>129</v>
      </c>
      <c r="X20" t="s">
        <v>274</v>
      </c>
      <c r="Y20" t="s">
        <v>274</v>
      </c>
      <c r="Z20">
        <v>11.71</v>
      </c>
      <c r="AA20">
        <v>9.5399999999999991</v>
      </c>
      <c r="AB20" t="s">
        <v>274</v>
      </c>
      <c r="AC20" t="s">
        <v>274</v>
      </c>
      <c r="AD20" t="s">
        <v>274</v>
      </c>
      <c r="AE20" t="s">
        <v>274</v>
      </c>
      <c r="AF20">
        <v>69</v>
      </c>
      <c r="AG20">
        <v>64</v>
      </c>
    </row>
    <row r="21" spans="1:78" x14ac:dyDescent="0.2">
      <c r="A21" t="s">
        <v>106</v>
      </c>
      <c r="D21" t="s">
        <v>130</v>
      </c>
      <c r="E21">
        <v>3.42</v>
      </c>
      <c r="F21">
        <v>2.2200000000000002</v>
      </c>
      <c r="G21">
        <v>0.66</v>
      </c>
      <c r="H21">
        <v>64.349999999999994</v>
      </c>
      <c r="I21">
        <v>55.05</v>
      </c>
      <c r="K21" t="s">
        <v>23</v>
      </c>
      <c r="L21" t="s">
        <v>130</v>
      </c>
      <c r="M21">
        <f t="shared" si="0"/>
        <v>1.93</v>
      </c>
      <c r="N21">
        <f t="shared" si="4"/>
        <v>6.5299999999999994</v>
      </c>
      <c r="O21">
        <f t="shared" si="1"/>
        <v>3.3849999999999998</v>
      </c>
      <c r="P21">
        <f t="shared" si="2"/>
        <v>64</v>
      </c>
      <c r="Q21">
        <f t="shared" si="3"/>
        <v>63.5</v>
      </c>
      <c r="T21" t="s">
        <v>64</v>
      </c>
      <c r="U21" t="s">
        <v>45</v>
      </c>
      <c r="V21" t="s">
        <v>65</v>
      </c>
      <c r="W21" t="s">
        <v>130</v>
      </c>
      <c r="X21">
        <v>1.94</v>
      </c>
      <c r="Y21">
        <v>1.92</v>
      </c>
      <c r="Z21">
        <v>6.42</v>
      </c>
      <c r="AA21">
        <v>6.64</v>
      </c>
      <c r="AB21">
        <v>3.31</v>
      </c>
      <c r="AC21">
        <v>3.46</v>
      </c>
      <c r="AD21">
        <v>65</v>
      </c>
      <c r="AE21">
        <v>63</v>
      </c>
      <c r="AF21">
        <v>64</v>
      </c>
      <c r="AG21">
        <v>63</v>
      </c>
    </row>
    <row r="22" spans="1:78" x14ac:dyDescent="0.2">
      <c r="A22" t="s">
        <v>106</v>
      </c>
      <c r="D22" t="s">
        <v>131</v>
      </c>
      <c r="E22">
        <v>0.4</v>
      </c>
      <c r="F22">
        <v>12.39</v>
      </c>
      <c r="G22">
        <v>31.86</v>
      </c>
      <c r="H22">
        <v>87.58</v>
      </c>
      <c r="I22">
        <v>78.989999999999995</v>
      </c>
      <c r="K22" t="s">
        <v>23</v>
      </c>
      <c r="L22" t="s">
        <v>131</v>
      </c>
      <c r="M22">
        <f t="shared" si="0"/>
        <v>0.57000000000000006</v>
      </c>
      <c r="N22">
        <f t="shared" si="4"/>
        <v>22.520000000000003</v>
      </c>
      <c r="O22">
        <f t="shared" si="1"/>
        <v>40.085000000000001</v>
      </c>
      <c r="P22">
        <f t="shared" si="2"/>
        <v>73.5</v>
      </c>
      <c r="Q22">
        <f t="shared" si="3"/>
        <v>75.5</v>
      </c>
      <c r="T22" t="s">
        <v>64</v>
      </c>
      <c r="U22" t="s">
        <v>45</v>
      </c>
      <c r="V22" t="s">
        <v>65</v>
      </c>
      <c r="W22" t="s">
        <v>131</v>
      </c>
      <c r="X22">
        <v>0.5</v>
      </c>
      <c r="Y22">
        <v>0.64</v>
      </c>
      <c r="Z22">
        <v>22.44</v>
      </c>
      <c r="AA22">
        <v>22.6</v>
      </c>
      <c r="AB22">
        <v>44.81</v>
      </c>
      <c r="AC22">
        <v>35.36</v>
      </c>
      <c r="AD22">
        <v>67</v>
      </c>
      <c r="AE22">
        <v>80</v>
      </c>
      <c r="AF22">
        <v>74</v>
      </c>
      <c r="AG22">
        <v>77</v>
      </c>
    </row>
    <row r="23" spans="1:78" x14ac:dyDescent="0.2">
      <c r="A23" t="s">
        <v>106</v>
      </c>
      <c r="D23" t="s">
        <v>132</v>
      </c>
      <c r="E23">
        <v>11.31</v>
      </c>
      <c r="F23">
        <v>3.61</v>
      </c>
      <c r="G23">
        <v>0.32</v>
      </c>
      <c r="H23">
        <v>77.27</v>
      </c>
      <c r="I23">
        <v>63.32</v>
      </c>
      <c r="K23" t="s">
        <v>23</v>
      </c>
      <c r="L23" t="s">
        <v>132</v>
      </c>
      <c r="M23">
        <f t="shared" si="0"/>
        <v>1.1499999999999999</v>
      </c>
      <c r="N23">
        <f t="shared" si="4"/>
        <v>8.43</v>
      </c>
      <c r="O23">
        <f t="shared" si="1"/>
        <v>7.3599999999999994</v>
      </c>
      <c r="P23">
        <f t="shared" si="2"/>
        <v>69</v>
      </c>
      <c r="Q23">
        <f t="shared" si="3"/>
        <v>69.5</v>
      </c>
      <c r="T23" t="s">
        <v>64</v>
      </c>
      <c r="U23" t="s">
        <v>45</v>
      </c>
      <c r="V23" t="s">
        <v>65</v>
      </c>
      <c r="W23" t="s">
        <v>132</v>
      </c>
      <c r="X23">
        <v>1.1100000000000001</v>
      </c>
      <c r="Y23">
        <v>1.19</v>
      </c>
      <c r="Z23">
        <v>9.02</v>
      </c>
      <c r="AA23">
        <v>7.84</v>
      </c>
      <c r="AB23">
        <v>8.16</v>
      </c>
      <c r="AC23">
        <v>6.56</v>
      </c>
      <c r="AD23">
        <v>70</v>
      </c>
      <c r="AE23">
        <v>68</v>
      </c>
      <c r="AF23">
        <v>72</v>
      </c>
      <c r="AG23">
        <v>67</v>
      </c>
    </row>
    <row r="24" spans="1:78" x14ac:dyDescent="0.2">
      <c r="A24" t="s">
        <v>106</v>
      </c>
      <c r="D24" t="s">
        <v>133</v>
      </c>
      <c r="E24" t="e">
        <v>#VALUE!</v>
      </c>
      <c r="F24">
        <v>3.04</v>
      </c>
      <c r="G24" t="e">
        <v>#VALUE!</v>
      </c>
      <c r="H24" t="e">
        <v>#VALUE!</v>
      </c>
      <c r="I24">
        <v>65.3</v>
      </c>
      <c r="K24" t="s">
        <v>23</v>
      </c>
      <c r="L24" t="s">
        <v>133</v>
      </c>
      <c r="M24">
        <f t="shared" si="0"/>
        <v>1.4350000000000001</v>
      </c>
      <c r="N24">
        <f t="shared" si="4"/>
        <v>3.4850000000000003</v>
      </c>
      <c r="O24">
        <f t="shared" si="1"/>
        <v>2.415</v>
      </c>
      <c r="P24">
        <f t="shared" si="2"/>
        <v>75.5</v>
      </c>
      <c r="Q24">
        <f t="shared" si="3"/>
        <v>51.5</v>
      </c>
      <c r="T24" t="s">
        <v>36</v>
      </c>
      <c r="U24" t="s">
        <v>45</v>
      </c>
      <c r="V24" t="s">
        <v>46</v>
      </c>
      <c r="W24" t="s">
        <v>133</v>
      </c>
      <c r="X24">
        <v>1.49</v>
      </c>
      <c r="Y24">
        <v>1.38</v>
      </c>
      <c r="Z24">
        <v>3.93</v>
      </c>
      <c r="AA24">
        <v>3.04</v>
      </c>
      <c r="AB24">
        <v>2.63</v>
      </c>
      <c r="AC24">
        <v>2.2000000000000002</v>
      </c>
      <c r="AD24">
        <v>74</v>
      </c>
      <c r="AE24">
        <v>77</v>
      </c>
      <c r="AF24">
        <v>58</v>
      </c>
      <c r="AG24">
        <v>45</v>
      </c>
    </row>
    <row r="25" spans="1:78" x14ac:dyDescent="0.2">
      <c r="A25" t="s">
        <v>106</v>
      </c>
      <c r="D25" t="s">
        <v>134</v>
      </c>
      <c r="E25" t="e">
        <v>#VALUE!</v>
      </c>
      <c r="F25">
        <v>0.48</v>
      </c>
      <c r="G25" t="e">
        <v>#VALUE!</v>
      </c>
      <c r="H25" t="e">
        <v>#VALUE!</v>
      </c>
      <c r="I25">
        <v>40.5</v>
      </c>
      <c r="K25" t="s">
        <v>23</v>
      </c>
      <c r="L25" t="e">
        <v>#VALUE!</v>
      </c>
      <c r="M25" t="e">
        <f t="shared" si="0"/>
        <v>#DIV/0!</v>
      </c>
      <c r="N25" t="e">
        <f t="shared" si="4"/>
        <v>#DIV/0!</v>
      </c>
      <c r="O25" t="e">
        <f t="shared" si="1"/>
        <v>#DIV/0!</v>
      </c>
      <c r="P25" t="e">
        <f t="shared" si="2"/>
        <v>#DIV/0!</v>
      </c>
      <c r="Q25" t="e">
        <f t="shared" si="3"/>
        <v>#DIV/0!</v>
      </c>
      <c r="T25" t="s">
        <v>25</v>
      </c>
      <c r="U25" t="s">
        <v>26</v>
      </c>
      <c r="V25" t="s">
        <v>134</v>
      </c>
      <c r="W25" t="e">
        <v>#VALUE!</v>
      </c>
      <c r="X25" t="s">
        <v>274</v>
      </c>
      <c r="Y25" t="s">
        <v>274</v>
      </c>
      <c r="Z25" t="s">
        <v>274</v>
      </c>
      <c r="AA25" t="s">
        <v>274</v>
      </c>
      <c r="AB25" t="s">
        <v>274</v>
      </c>
      <c r="AC25" t="s">
        <v>274</v>
      </c>
      <c r="AD25" t="s">
        <v>274</v>
      </c>
      <c r="AE25" t="s">
        <v>274</v>
      </c>
      <c r="AF25" t="s">
        <v>274</v>
      </c>
    </row>
    <row r="26" spans="1:78" x14ac:dyDescent="0.2">
      <c r="A26" t="s">
        <v>106</v>
      </c>
      <c r="D26" t="s">
        <v>135</v>
      </c>
      <c r="E26">
        <v>10.220000000000001</v>
      </c>
      <c r="F26">
        <v>7.03</v>
      </c>
      <c r="G26">
        <v>0.69</v>
      </c>
      <c r="H26">
        <v>47.1</v>
      </c>
      <c r="I26">
        <v>57.7</v>
      </c>
      <c r="K26" t="s">
        <v>23</v>
      </c>
      <c r="L26" t="s">
        <v>135</v>
      </c>
      <c r="M26">
        <f t="shared" si="0"/>
        <v>5.2392805874999997</v>
      </c>
      <c r="N26">
        <f t="shared" si="4"/>
        <v>29.199502880000001</v>
      </c>
      <c r="O26">
        <f t="shared" si="1"/>
        <v>6.0501922836666671</v>
      </c>
      <c r="P26">
        <f t="shared" si="2"/>
        <v>60.468674983333329</v>
      </c>
      <c r="Q26">
        <f t="shared" si="3"/>
        <v>69.480406254999991</v>
      </c>
      <c r="T26" t="s">
        <v>30</v>
      </c>
      <c r="U26" t="s">
        <v>31</v>
      </c>
      <c r="V26" t="s">
        <v>31</v>
      </c>
      <c r="W26" t="s">
        <v>135</v>
      </c>
      <c r="X26">
        <v>4.3499999999999996</v>
      </c>
      <c r="Y26">
        <v>4.96</v>
      </c>
      <c r="Z26">
        <v>56.9</v>
      </c>
      <c r="AA26">
        <v>61.75</v>
      </c>
      <c r="AB26">
        <v>13.07</v>
      </c>
      <c r="AC26">
        <v>12.45</v>
      </c>
      <c r="AD26">
        <v>50.38</v>
      </c>
      <c r="AE26">
        <v>48.81</v>
      </c>
      <c r="AF26">
        <v>77.010000000000005</v>
      </c>
      <c r="AG26">
        <v>76.260000000000005</v>
      </c>
      <c r="AI26" t="s">
        <v>57</v>
      </c>
      <c r="AL26" t="s">
        <v>135</v>
      </c>
      <c r="AM26">
        <v>4.59</v>
      </c>
      <c r="AN26">
        <v>6.8</v>
      </c>
      <c r="AO26">
        <v>12.47908069</v>
      </c>
      <c r="AP26">
        <v>13.03703855</v>
      </c>
      <c r="AQ26">
        <v>2.7215461940000001</v>
      </c>
      <c r="AR26">
        <v>1.9224006</v>
      </c>
      <c r="AS26">
        <v>70.599999999999994</v>
      </c>
      <c r="AT26">
        <v>75.900000000000006</v>
      </c>
      <c r="AU26">
        <v>65</v>
      </c>
      <c r="AV26">
        <v>70</v>
      </c>
      <c r="AX26" t="s">
        <v>104</v>
      </c>
      <c r="AY26" t="s">
        <v>136</v>
      </c>
      <c r="BA26" t="s">
        <v>135</v>
      </c>
      <c r="BB26">
        <v>3.9603545320000002</v>
      </c>
      <c r="BC26">
        <v>6.7753289929999996</v>
      </c>
      <c r="BD26">
        <v>14.84365298</v>
      </c>
      <c r="BE26">
        <v>16.187245059999999</v>
      </c>
      <c r="BF26">
        <v>3.7480616599999999</v>
      </c>
      <c r="BG26">
        <v>2.3891452480000002</v>
      </c>
      <c r="BH26">
        <v>59.051640540000001</v>
      </c>
      <c r="BI26">
        <v>58.070409359999999</v>
      </c>
      <c r="BJ26">
        <v>63.348014859999999</v>
      </c>
      <c r="BK26">
        <v>65.264422670000002</v>
      </c>
    </row>
    <row r="27" spans="1:78" x14ac:dyDescent="0.2">
      <c r="A27" t="s">
        <v>106</v>
      </c>
      <c r="D27" t="s">
        <v>137</v>
      </c>
      <c r="E27">
        <v>3.15</v>
      </c>
      <c r="F27">
        <v>23.56</v>
      </c>
      <c r="G27">
        <v>8.7100000000000009</v>
      </c>
      <c r="H27">
        <v>107.4</v>
      </c>
      <c r="I27">
        <v>72.11</v>
      </c>
      <c r="K27" t="s">
        <v>23</v>
      </c>
      <c r="L27" t="s">
        <v>137</v>
      </c>
      <c r="M27">
        <f t="shared" si="0"/>
        <v>4.3425000000000002</v>
      </c>
      <c r="N27">
        <f t="shared" si="4"/>
        <v>82.492500000000007</v>
      </c>
      <c r="O27">
        <f t="shared" si="1"/>
        <v>27.5</v>
      </c>
      <c r="P27">
        <f t="shared" si="2"/>
        <v>79.14500000000001</v>
      </c>
      <c r="Q27">
        <f t="shared" si="3"/>
        <v>70.202500000000001</v>
      </c>
      <c r="T27" t="s">
        <v>138</v>
      </c>
      <c r="U27" t="s">
        <v>75</v>
      </c>
      <c r="V27" t="s">
        <v>26</v>
      </c>
      <c r="W27" t="s">
        <v>137</v>
      </c>
      <c r="X27">
        <v>6.77</v>
      </c>
      <c r="Y27">
        <v>5.07</v>
      </c>
      <c r="Z27">
        <v>27.82</v>
      </c>
      <c r="AA27">
        <v>22.74</v>
      </c>
      <c r="AB27">
        <v>4.1100000000000003</v>
      </c>
      <c r="AC27">
        <v>4.49</v>
      </c>
      <c r="AD27">
        <v>89.77</v>
      </c>
      <c r="AE27">
        <v>85.03</v>
      </c>
      <c r="AF27">
        <v>63.54</v>
      </c>
      <c r="AG27">
        <v>63.28</v>
      </c>
      <c r="AI27" t="s">
        <v>30</v>
      </c>
      <c r="AJ27" t="s">
        <v>31</v>
      </c>
      <c r="AK27" t="s">
        <v>31</v>
      </c>
      <c r="AL27" t="s">
        <v>137</v>
      </c>
      <c r="AM27">
        <v>2.9</v>
      </c>
      <c r="AN27">
        <v>2.63</v>
      </c>
      <c r="AO27">
        <v>133.49</v>
      </c>
      <c r="AP27">
        <v>145.91999999999999</v>
      </c>
      <c r="AQ27">
        <v>46.02</v>
      </c>
      <c r="AR27">
        <v>55.38</v>
      </c>
      <c r="AS27">
        <v>71.86</v>
      </c>
      <c r="AT27">
        <v>69.92</v>
      </c>
      <c r="AU27">
        <v>74.66</v>
      </c>
      <c r="AV27">
        <v>79.33</v>
      </c>
    </row>
    <row r="28" spans="1:78" x14ac:dyDescent="0.2">
      <c r="A28" t="s">
        <v>106</v>
      </c>
      <c r="D28" t="s">
        <v>139</v>
      </c>
      <c r="E28">
        <v>0.73</v>
      </c>
      <c r="F28">
        <v>14.4</v>
      </c>
      <c r="G28">
        <v>28.82</v>
      </c>
      <c r="H28">
        <v>107.2</v>
      </c>
      <c r="I28">
        <v>59.95</v>
      </c>
      <c r="K28" t="s">
        <v>23</v>
      </c>
      <c r="L28" t="s">
        <v>139</v>
      </c>
      <c r="M28" t="e">
        <f t="shared" si="0"/>
        <v>#DIV/0!</v>
      </c>
      <c r="N28">
        <f t="shared" si="4"/>
        <v>24.17</v>
      </c>
      <c r="O28" t="e">
        <f t="shared" si="1"/>
        <v>#DIV/0!</v>
      </c>
      <c r="P28" t="e">
        <f t="shared" si="2"/>
        <v>#DIV/0!</v>
      </c>
      <c r="Q28">
        <f t="shared" si="3"/>
        <v>81.5</v>
      </c>
      <c r="T28" t="s">
        <v>64</v>
      </c>
      <c r="U28" t="s">
        <v>45</v>
      </c>
      <c r="V28" t="s">
        <v>65</v>
      </c>
      <c r="W28" t="s">
        <v>139</v>
      </c>
      <c r="X28" t="s">
        <v>274</v>
      </c>
      <c r="Y28" t="s">
        <v>274</v>
      </c>
      <c r="Z28">
        <v>16.440000000000001</v>
      </c>
      <c r="AA28">
        <v>31.9</v>
      </c>
      <c r="AB28" t="s">
        <v>274</v>
      </c>
      <c r="AC28" t="s">
        <v>274</v>
      </c>
      <c r="AD28" t="s">
        <v>274</v>
      </c>
      <c r="AE28" t="s">
        <v>274</v>
      </c>
      <c r="AF28">
        <v>66</v>
      </c>
      <c r="AG28">
        <v>97</v>
      </c>
    </row>
    <row r="29" spans="1:78" x14ac:dyDescent="0.2">
      <c r="A29" t="s">
        <v>106</v>
      </c>
      <c r="D29" t="s">
        <v>140</v>
      </c>
      <c r="E29">
        <v>6.97</v>
      </c>
      <c r="F29">
        <v>8.17</v>
      </c>
      <c r="G29">
        <v>1.18</v>
      </c>
      <c r="H29">
        <v>88.75</v>
      </c>
      <c r="I29">
        <v>65.47</v>
      </c>
      <c r="K29" t="s">
        <v>23</v>
      </c>
      <c r="L29" t="s">
        <v>140</v>
      </c>
      <c r="M29">
        <f t="shared" si="0"/>
        <v>1.95</v>
      </c>
      <c r="N29">
        <f t="shared" si="4"/>
        <v>8.004999999999999</v>
      </c>
      <c r="O29">
        <f t="shared" si="1"/>
        <v>4.1099999999999994</v>
      </c>
      <c r="P29">
        <f t="shared" si="2"/>
        <v>59</v>
      </c>
      <c r="Q29">
        <f t="shared" si="3"/>
        <v>63</v>
      </c>
      <c r="T29" t="s">
        <v>64</v>
      </c>
      <c r="U29" t="s">
        <v>45</v>
      </c>
      <c r="V29" t="s">
        <v>65</v>
      </c>
      <c r="W29" t="s">
        <v>140</v>
      </c>
      <c r="X29">
        <v>1.88</v>
      </c>
      <c r="Y29">
        <v>2.02</v>
      </c>
      <c r="Z29">
        <v>7.9</v>
      </c>
      <c r="AA29">
        <v>8.11</v>
      </c>
      <c r="AB29">
        <v>4.2</v>
      </c>
      <c r="AC29">
        <v>4.0199999999999996</v>
      </c>
      <c r="AD29">
        <v>58</v>
      </c>
      <c r="AE29">
        <v>60</v>
      </c>
      <c r="AF29">
        <v>58</v>
      </c>
      <c r="AG29">
        <v>68</v>
      </c>
    </row>
    <row r="30" spans="1:78" x14ac:dyDescent="0.2">
      <c r="A30" t="s">
        <v>106</v>
      </c>
      <c r="D30" t="s">
        <v>141</v>
      </c>
      <c r="E30">
        <v>150.19999999999999</v>
      </c>
      <c r="F30">
        <v>44.39</v>
      </c>
      <c r="G30">
        <v>0.3</v>
      </c>
      <c r="H30">
        <v>273.18</v>
      </c>
      <c r="I30">
        <v>76.099999999999994</v>
      </c>
      <c r="K30" t="s">
        <v>23</v>
      </c>
      <c r="L30" t="s">
        <v>141</v>
      </c>
      <c r="M30" t="e">
        <f t="shared" si="0"/>
        <v>#DIV/0!</v>
      </c>
      <c r="N30">
        <f t="shared" si="4"/>
        <v>0.33</v>
      </c>
      <c r="O30" t="e">
        <f t="shared" si="1"/>
        <v>#DIV/0!</v>
      </c>
      <c r="P30" t="e">
        <f t="shared" si="2"/>
        <v>#DIV/0!</v>
      </c>
      <c r="Q30">
        <f t="shared" si="3"/>
        <v>57</v>
      </c>
      <c r="T30" t="s">
        <v>64</v>
      </c>
      <c r="U30" t="s">
        <v>45</v>
      </c>
      <c r="V30" t="s">
        <v>65</v>
      </c>
      <c r="W30" t="s">
        <v>141</v>
      </c>
      <c r="X30" t="s">
        <v>274</v>
      </c>
      <c r="Y30" t="s">
        <v>274</v>
      </c>
      <c r="Z30" t="s">
        <v>274</v>
      </c>
      <c r="AA30">
        <v>0.33</v>
      </c>
      <c r="AB30" t="s">
        <v>274</v>
      </c>
      <c r="AC30" t="s">
        <v>274</v>
      </c>
      <c r="AD30" t="s">
        <v>274</v>
      </c>
      <c r="AE30" t="s">
        <v>274</v>
      </c>
      <c r="AF30" t="s">
        <v>274</v>
      </c>
      <c r="AG30">
        <v>57</v>
      </c>
    </row>
    <row r="31" spans="1:78" x14ac:dyDescent="0.2">
      <c r="A31" t="s">
        <v>106</v>
      </c>
      <c r="D31" t="s">
        <v>142</v>
      </c>
      <c r="E31">
        <v>1.34</v>
      </c>
      <c r="F31">
        <v>0.43</v>
      </c>
      <c r="G31">
        <v>0.32</v>
      </c>
      <c r="H31">
        <v>121.28</v>
      </c>
      <c r="I31">
        <v>119.62</v>
      </c>
      <c r="K31" t="s">
        <v>23</v>
      </c>
      <c r="L31" t="s">
        <v>142</v>
      </c>
      <c r="M31">
        <f t="shared" si="0"/>
        <v>0.7</v>
      </c>
      <c r="N31">
        <f t="shared" si="4"/>
        <v>18.68</v>
      </c>
      <c r="O31">
        <f t="shared" si="1"/>
        <v>27.07</v>
      </c>
      <c r="P31">
        <f t="shared" si="2"/>
        <v>72</v>
      </c>
      <c r="Q31">
        <f t="shared" si="3"/>
        <v>63.5</v>
      </c>
      <c r="T31" t="s">
        <v>64</v>
      </c>
      <c r="U31" t="s">
        <v>45</v>
      </c>
      <c r="V31" t="s">
        <v>65</v>
      </c>
      <c r="W31" t="s">
        <v>142</v>
      </c>
      <c r="X31">
        <v>0.61</v>
      </c>
      <c r="Y31">
        <v>0.79</v>
      </c>
      <c r="Z31">
        <v>18.39</v>
      </c>
      <c r="AA31">
        <v>18.97</v>
      </c>
      <c r="AB31">
        <v>30.16</v>
      </c>
      <c r="AC31">
        <v>23.98</v>
      </c>
      <c r="AD31">
        <v>74</v>
      </c>
      <c r="AE31">
        <v>70</v>
      </c>
      <c r="AF31">
        <v>63</v>
      </c>
      <c r="AG31">
        <v>64</v>
      </c>
    </row>
    <row r="32" spans="1:78" x14ac:dyDescent="0.2">
      <c r="A32" t="s">
        <v>106</v>
      </c>
      <c r="D32" t="s">
        <v>143</v>
      </c>
      <c r="E32">
        <v>7.72</v>
      </c>
      <c r="F32">
        <v>14.21</v>
      </c>
      <c r="G32">
        <v>1.7</v>
      </c>
      <c r="H32">
        <v>21.68</v>
      </c>
      <c r="I32">
        <v>34.15</v>
      </c>
      <c r="K32" t="s">
        <v>23</v>
      </c>
      <c r="L32" t="s">
        <v>143</v>
      </c>
      <c r="M32">
        <f t="shared" si="0"/>
        <v>13.94</v>
      </c>
      <c r="N32">
        <f t="shared" si="4"/>
        <v>16.740000000000002</v>
      </c>
      <c r="O32">
        <f t="shared" si="1"/>
        <v>1.22</v>
      </c>
      <c r="P32">
        <f t="shared" si="2"/>
        <v>80.775000000000006</v>
      </c>
      <c r="Q32">
        <f t="shared" si="3"/>
        <v>64.08</v>
      </c>
      <c r="T32" t="s">
        <v>138</v>
      </c>
      <c r="U32" t="s">
        <v>75</v>
      </c>
      <c r="V32" t="s">
        <v>26</v>
      </c>
      <c r="W32" t="s">
        <v>143</v>
      </c>
      <c r="X32">
        <v>15.18</v>
      </c>
      <c r="Y32">
        <v>12.7</v>
      </c>
      <c r="Z32">
        <v>15.27</v>
      </c>
      <c r="AA32">
        <v>18.21</v>
      </c>
      <c r="AB32">
        <v>1.01</v>
      </c>
      <c r="AC32">
        <v>1.43</v>
      </c>
      <c r="AD32">
        <v>85.07</v>
      </c>
      <c r="AE32">
        <v>76.48</v>
      </c>
      <c r="AF32">
        <v>63.16</v>
      </c>
      <c r="AG32">
        <v>65</v>
      </c>
    </row>
    <row r="33" spans="1:48" x14ac:dyDescent="0.2">
      <c r="A33" t="s">
        <v>106</v>
      </c>
      <c r="D33" t="s">
        <v>144</v>
      </c>
      <c r="E33">
        <v>10.55</v>
      </c>
      <c r="F33">
        <v>13.9</v>
      </c>
      <c r="G33">
        <v>1.25</v>
      </c>
      <c r="H33">
        <v>57.74</v>
      </c>
      <c r="I33">
        <v>34.39</v>
      </c>
      <c r="K33" t="s">
        <v>23</v>
      </c>
      <c r="L33" t="s">
        <v>144</v>
      </c>
      <c r="M33">
        <f t="shared" si="0"/>
        <v>16.61</v>
      </c>
      <c r="N33">
        <f t="shared" si="4"/>
        <v>27.155000000000001</v>
      </c>
      <c r="O33">
        <f t="shared" si="1"/>
        <v>1.6400000000000001</v>
      </c>
      <c r="P33">
        <f t="shared" si="2"/>
        <v>76.27000000000001</v>
      </c>
      <c r="Q33">
        <f t="shared" si="3"/>
        <v>69.87</v>
      </c>
      <c r="T33" t="s">
        <v>138</v>
      </c>
      <c r="U33" t="s">
        <v>75</v>
      </c>
      <c r="V33" t="s">
        <v>26</v>
      </c>
      <c r="W33" t="s">
        <v>144</v>
      </c>
      <c r="X33">
        <v>15.19</v>
      </c>
      <c r="Y33">
        <v>18.03</v>
      </c>
      <c r="Z33">
        <v>25.47</v>
      </c>
      <c r="AA33">
        <v>28.84</v>
      </c>
      <c r="AB33">
        <v>1.68</v>
      </c>
      <c r="AC33">
        <v>1.6</v>
      </c>
      <c r="AD33">
        <v>71.09</v>
      </c>
      <c r="AE33">
        <v>81.45</v>
      </c>
      <c r="AF33">
        <v>61.84</v>
      </c>
      <c r="AG33">
        <v>77.900000000000006</v>
      </c>
    </row>
    <row r="34" spans="1:48" x14ac:dyDescent="0.2">
      <c r="A34" t="s">
        <v>106</v>
      </c>
      <c r="D34" t="s">
        <v>145</v>
      </c>
      <c r="E34" t="e">
        <v>#VALUE!</v>
      </c>
      <c r="F34" t="e">
        <v>#VALUE!</v>
      </c>
      <c r="G34" t="e">
        <v>#VALUE!</v>
      </c>
      <c r="H34" t="e">
        <v>#VALUE!</v>
      </c>
      <c r="I34" t="e">
        <v>#VALUE!</v>
      </c>
      <c r="K34" t="s">
        <v>23</v>
      </c>
      <c r="L34" t="s">
        <v>145</v>
      </c>
      <c r="M34" t="e">
        <f t="shared" si="0"/>
        <v>#DIV/0!</v>
      </c>
      <c r="N34">
        <f t="shared" si="4"/>
        <v>11.705</v>
      </c>
      <c r="O34" t="e">
        <f t="shared" si="1"/>
        <v>#DIV/0!</v>
      </c>
      <c r="P34" t="e">
        <f t="shared" si="2"/>
        <v>#DIV/0!</v>
      </c>
      <c r="Q34">
        <f t="shared" si="3"/>
        <v>30.5</v>
      </c>
      <c r="T34" t="s">
        <v>36</v>
      </c>
      <c r="U34" t="s">
        <v>45</v>
      </c>
      <c r="V34" t="s">
        <v>46</v>
      </c>
      <c r="W34" t="s">
        <v>145</v>
      </c>
      <c r="X34" t="s">
        <v>274</v>
      </c>
      <c r="Y34" t="s">
        <v>274</v>
      </c>
      <c r="Z34">
        <v>13.71</v>
      </c>
      <c r="AA34">
        <v>9.6999999999999993</v>
      </c>
      <c r="AB34" t="s">
        <v>274</v>
      </c>
      <c r="AC34" t="s">
        <v>274</v>
      </c>
      <c r="AD34" t="s">
        <v>274</v>
      </c>
      <c r="AE34" t="s">
        <v>274</v>
      </c>
      <c r="AF34">
        <v>29</v>
      </c>
      <c r="AG34">
        <v>32</v>
      </c>
    </row>
    <row r="35" spans="1:48" x14ac:dyDescent="0.2">
      <c r="A35" t="s">
        <v>106</v>
      </c>
      <c r="D35" t="s">
        <v>146</v>
      </c>
      <c r="E35" t="e">
        <v>#VALUE!</v>
      </c>
      <c r="F35">
        <v>2.0099999999999998</v>
      </c>
      <c r="G35" t="e">
        <v>#VALUE!</v>
      </c>
      <c r="H35" t="e">
        <v>#VALUE!</v>
      </c>
      <c r="I35">
        <v>71.959999999999994</v>
      </c>
      <c r="K35" t="s">
        <v>23</v>
      </c>
      <c r="L35" t="s">
        <v>146</v>
      </c>
      <c r="M35" t="e">
        <f t="shared" si="0"/>
        <v>#DIV/0!</v>
      </c>
      <c r="N35">
        <f t="shared" si="4"/>
        <v>8.7349999999999994</v>
      </c>
      <c r="O35" t="e">
        <f t="shared" si="1"/>
        <v>#DIV/0!</v>
      </c>
      <c r="P35" t="e">
        <f t="shared" si="2"/>
        <v>#DIV/0!</v>
      </c>
      <c r="Q35">
        <f t="shared" si="3"/>
        <v>76.5</v>
      </c>
      <c r="T35" t="s">
        <v>64</v>
      </c>
      <c r="U35" t="s">
        <v>45</v>
      </c>
      <c r="V35" t="s">
        <v>65</v>
      </c>
      <c r="W35" t="s">
        <v>146</v>
      </c>
      <c r="X35" t="s">
        <v>274</v>
      </c>
      <c r="Y35" t="s">
        <v>274</v>
      </c>
      <c r="Z35">
        <v>8.43</v>
      </c>
      <c r="AA35">
        <v>9.0399999999999991</v>
      </c>
      <c r="AB35" t="s">
        <v>274</v>
      </c>
      <c r="AC35" t="s">
        <v>274</v>
      </c>
      <c r="AD35" t="s">
        <v>274</v>
      </c>
      <c r="AE35" t="s">
        <v>274</v>
      </c>
      <c r="AF35">
        <v>78</v>
      </c>
      <c r="AG35">
        <v>75</v>
      </c>
    </row>
    <row r="36" spans="1:48" x14ac:dyDescent="0.2">
      <c r="A36" t="s">
        <v>106</v>
      </c>
      <c r="D36" t="s">
        <v>147</v>
      </c>
      <c r="E36" t="e">
        <v>#VALUE!</v>
      </c>
      <c r="F36" t="e">
        <v>#VALUE!</v>
      </c>
      <c r="G36" t="e">
        <v>#VALUE!</v>
      </c>
      <c r="H36" t="e">
        <v>#VALUE!</v>
      </c>
      <c r="I36" t="e">
        <v>#VALUE!</v>
      </c>
      <c r="K36" t="s">
        <v>23</v>
      </c>
      <c r="L36" t="s">
        <v>147</v>
      </c>
      <c r="M36">
        <f t="shared" si="0"/>
        <v>0.60499999999999998</v>
      </c>
      <c r="N36">
        <f t="shared" si="4"/>
        <v>0.29000000000000004</v>
      </c>
      <c r="O36">
        <f t="shared" si="1"/>
        <v>0.69499999999999995</v>
      </c>
      <c r="P36">
        <f t="shared" si="2"/>
        <v>36</v>
      </c>
      <c r="Q36">
        <f t="shared" si="3"/>
        <v>45</v>
      </c>
      <c r="T36" t="s">
        <v>36</v>
      </c>
      <c r="U36" t="s">
        <v>45</v>
      </c>
      <c r="V36" t="s">
        <v>46</v>
      </c>
      <c r="W36" t="s">
        <v>147</v>
      </c>
      <c r="X36">
        <v>0.87</v>
      </c>
      <c r="Y36">
        <v>0.34</v>
      </c>
      <c r="Z36">
        <v>0.18</v>
      </c>
      <c r="AA36">
        <v>0.4</v>
      </c>
      <c r="AB36">
        <v>0.21</v>
      </c>
      <c r="AC36">
        <v>1.18</v>
      </c>
      <c r="AD36">
        <v>37</v>
      </c>
      <c r="AE36">
        <v>35</v>
      </c>
      <c r="AF36">
        <v>42</v>
      </c>
      <c r="AG36">
        <v>48</v>
      </c>
    </row>
    <row r="37" spans="1:48" x14ac:dyDescent="0.2">
      <c r="A37" t="s">
        <v>106</v>
      </c>
      <c r="D37" t="s">
        <v>148</v>
      </c>
      <c r="E37" t="e">
        <v>#VALUE!</v>
      </c>
      <c r="F37" t="e">
        <v>#VALUE!</v>
      </c>
      <c r="G37" t="e">
        <v>#VALUE!</v>
      </c>
      <c r="H37" t="e">
        <v>#VALUE!</v>
      </c>
      <c r="I37" t="e">
        <v>#VALUE!</v>
      </c>
      <c r="K37" t="s">
        <v>23</v>
      </c>
      <c r="L37" t="s">
        <v>148</v>
      </c>
      <c r="M37" t="e">
        <f t="shared" si="0"/>
        <v>#DIV/0!</v>
      </c>
      <c r="N37">
        <f t="shared" si="4"/>
        <v>9.48</v>
      </c>
      <c r="O37" t="e">
        <f t="shared" si="1"/>
        <v>#DIV/0!</v>
      </c>
      <c r="P37" t="e">
        <f t="shared" si="2"/>
        <v>#DIV/0!</v>
      </c>
      <c r="Q37">
        <f t="shared" si="3"/>
        <v>34.5</v>
      </c>
      <c r="T37" t="s">
        <v>36</v>
      </c>
      <c r="U37" t="s">
        <v>45</v>
      </c>
      <c r="V37" t="s">
        <v>46</v>
      </c>
      <c r="W37" t="s">
        <v>148</v>
      </c>
      <c r="X37" t="s">
        <v>274</v>
      </c>
      <c r="Y37" t="s">
        <v>274</v>
      </c>
      <c r="Z37">
        <v>9.19</v>
      </c>
      <c r="AA37">
        <v>9.77</v>
      </c>
      <c r="AB37" t="s">
        <v>274</v>
      </c>
      <c r="AC37" t="s">
        <v>274</v>
      </c>
      <c r="AD37" t="s">
        <v>274</v>
      </c>
      <c r="AE37" t="s">
        <v>274</v>
      </c>
      <c r="AF37">
        <v>36</v>
      </c>
      <c r="AG37">
        <v>33</v>
      </c>
    </row>
    <row r="38" spans="1:48" x14ac:dyDescent="0.2">
      <c r="A38" t="s">
        <v>106</v>
      </c>
      <c r="D38" t="s">
        <v>149</v>
      </c>
      <c r="E38" t="e">
        <v>#VALUE!</v>
      </c>
      <c r="F38" t="e">
        <v>#VALUE!</v>
      </c>
      <c r="G38" t="e">
        <v>#VALUE!</v>
      </c>
      <c r="H38" t="e">
        <v>#VALUE!</v>
      </c>
      <c r="I38" t="e">
        <v>#VALUE!</v>
      </c>
      <c r="K38" t="s">
        <v>23</v>
      </c>
      <c r="L38" t="s">
        <v>149</v>
      </c>
      <c r="M38">
        <f t="shared" si="0"/>
        <v>0.38500000000000001</v>
      </c>
      <c r="N38">
        <f t="shared" si="4"/>
        <v>1.2799999999999998</v>
      </c>
      <c r="O38">
        <f t="shared" si="1"/>
        <v>3.3450000000000002</v>
      </c>
      <c r="P38">
        <f t="shared" si="2"/>
        <v>70.16</v>
      </c>
      <c r="Q38">
        <f t="shared" si="3"/>
        <v>50.41</v>
      </c>
      <c r="T38" t="s">
        <v>138</v>
      </c>
      <c r="U38" t="s">
        <v>75</v>
      </c>
      <c r="V38" t="s">
        <v>26</v>
      </c>
      <c r="W38" t="s">
        <v>149</v>
      </c>
      <c r="X38">
        <v>0.37</v>
      </c>
      <c r="Y38">
        <v>0.4</v>
      </c>
      <c r="Z38">
        <v>1.18</v>
      </c>
      <c r="AA38">
        <v>1.38</v>
      </c>
      <c r="AB38">
        <v>3.2</v>
      </c>
      <c r="AC38">
        <v>3.49</v>
      </c>
      <c r="AD38">
        <v>68.010000000000005</v>
      </c>
      <c r="AE38">
        <v>72.31</v>
      </c>
      <c r="AF38">
        <v>49.85</v>
      </c>
      <c r="AG38">
        <v>50.97</v>
      </c>
    </row>
    <row r="39" spans="1:48" x14ac:dyDescent="0.2">
      <c r="A39" t="s">
        <v>106</v>
      </c>
      <c r="D39" t="s">
        <v>150</v>
      </c>
      <c r="E39">
        <v>7.99</v>
      </c>
      <c r="F39">
        <v>23.86</v>
      </c>
      <c r="G39">
        <v>2.99</v>
      </c>
      <c r="H39">
        <v>74.28</v>
      </c>
      <c r="I39">
        <v>53</v>
      </c>
      <c r="K39" t="s">
        <v>23</v>
      </c>
      <c r="L39" t="s">
        <v>150</v>
      </c>
      <c r="M39">
        <f t="shared" si="0"/>
        <v>6.0674999999999999</v>
      </c>
      <c r="N39">
        <f t="shared" si="4"/>
        <v>33.229999999999997</v>
      </c>
      <c r="O39">
        <f t="shared" si="1"/>
        <v>5.32</v>
      </c>
      <c r="P39">
        <f t="shared" si="2"/>
        <v>84.195000000000007</v>
      </c>
      <c r="Q39">
        <f t="shared" si="3"/>
        <v>72.837500000000006</v>
      </c>
      <c r="T39" t="s">
        <v>138</v>
      </c>
      <c r="U39" t="s">
        <v>75</v>
      </c>
      <c r="V39" t="s">
        <v>26</v>
      </c>
      <c r="W39" t="s">
        <v>150</v>
      </c>
      <c r="X39">
        <v>4.26</v>
      </c>
      <c r="Y39">
        <v>6.09</v>
      </c>
      <c r="Z39">
        <v>19.149999999999999</v>
      </c>
      <c r="AA39">
        <v>22.09</v>
      </c>
      <c r="AB39">
        <v>4.49</v>
      </c>
      <c r="AC39">
        <v>3.62</v>
      </c>
      <c r="AD39">
        <v>76.03</v>
      </c>
      <c r="AE39">
        <v>86.48</v>
      </c>
      <c r="AF39">
        <v>64.36</v>
      </c>
      <c r="AG39">
        <v>63.5</v>
      </c>
      <c r="AI39" t="s">
        <v>27</v>
      </c>
      <c r="AJ39" t="s">
        <v>28</v>
      </c>
      <c r="AL39" t="s">
        <v>150</v>
      </c>
      <c r="AM39">
        <v>6.55</v>
      </c>
      <c r="AN39">
        <v>7.37</v>
      </c>
      <c r="AO39">
        <v>43.02</v>
      </c>
      <c r="AP39">
        <v>48.66</v>
      </c>
      <c r="AQ39">
        <v>6.57</v>
      </c>
      <c r="AR39">
        <v>6.6</v>
      </c>
      <c r="AS39">
        <v>89.98</v>
      </c>
      <c r="AT39">
        <v>84.29</v>
      </c>
      <c r="AU39">
        <v>81.99</v>
      </c>
      <c r="AV39">
        <v>81.5</v>
      </c>
    </row>
    <row r="40" spans="1:48" x14ac:dyDescent="0.2">
      <c r="A40" t="s">
        <v>106</v>
      </c>
      <c r="D40" t="s">
        <v>151</v>
      </c>
      <c r="E40" t="e">
        <v>#VALUE!</v>
      </c>
      <c r="F40">
        <v>64.13</v>
      </c>
      <c r="G40" t="e">
        <v>#VALUE!</v>
      </c>
      <c r="H40" t="e">
        <v>#VALUE!</v>
      </c>
      <c r="I40" t="e">
        <v>#VALUE!</v>
      </c>
      <c r="K40" t="s">
        <v>23</v>
      </c>
      <c r="L40" t="s">
        <v>151</v>
      </c>
      <c r="M40" t="e">
        <f t="shared" si="0"/>
        <v>#DIV/0!</v>
      </c>
      <c r="N40" t="e">
        <f t="shared" si="4"/>
        <v>#DIV/0!</v>
      </c>
      <c r="O40" t="e">
        <f t="shared" si="1"/>
        <v>#DIV/0!</v>
      </c>
      <c r="P40" t="e">
        <f t="shared" si="2"/>
        <v>#DIV/0!</v>
      </c>
      <c r="Q40" t="e">
        <f t="shared" si="3"/>
        <v>#DIV/0!</v>
      </c>
      <c r="T40" t="s">
        <v>64</v>
      </c>
      <c r="U40" t="s">
        <v>45</v>
      </c>
      <c r="V40" t="s">
        <v>65</v>
      </c>
      <c r="W40" t="s">
        <v>151</v>
      </c>
      <c r="X40" t="s">
        <v>274</v>
      </c>
      <c r="Y40" t="s">
        <v>274</v>
      </c>
      <c r="Z40" t="s">
        <v>274</v>
      </c>
      <c r="AA40" t="s">
        <v>274</v>
      </c>
      <c r="AB40" t="s">
        <v>274</v>
      </c>
      <c r="AC40" t="s">
        <v>274</v>
      </c>
      <c r="AD40" t="s">
        <v>274</v>
      </c>
      <c r="AE40" t="s">
        <v>274</v>
      </c>
      <c r="AF40" t="s">
        <v>274</v>
      </c>
      <c r="AG40" t="s">
        <v>274</v>
      </c>
    </row>
    <row r="41" spans="1:48" x14ac:dyDescent="0.2">
      <c r="A41" t="s">
        <v>106</v>
      </c>
      <c r="D41" t="s">
        <v>152</v>
      </c>
      <c r="E41" t="e">
        <v>#VALUE!</v>
      </c>
      <c r="F41">
        <v>10.56</v>
      </c>
      <c r="G41" t="e">
        <v>#VALUE!</v>
      </c>
      <c r="H41" t="e">
        <v>#VALUE!</v>
      </c>
      <c r="I41">
        <v>49.96</v>
      </c>
      <c r="K41" t="s">
        <v>23</v>
      </c>
      <c r="L41" t="s">
        <v>152</v>
      </c>
      <c r="M41">
        <f t="shared" si="0"/>
        <v>10.99</v>
      </c>
      <c r="N41">
        <f t="shared" si="4"/>
        <v>29.43</v>
      </c>
      <c r="O41">
        <f t="shared" si="1"/>
        <v>2.73</v>
      </c>
      <c r="P41">
        <f t="shared" si="2"/>
        <v>92.5</v>
      </c>
      <c r="Q41">
        <f t="shared" si="3"/>
        <v>75.5</v>
      </c>
      <c r="T41" t="s">
        <v>64</v>
      </c>
      <c r="U41" t="s">
        <v>45</v>
      </c>
      <c r="V41" t="s">
        <v>65</v>
      </c>
      <c r="W41" t="s">
        <v>152</v>
      </c>
      <c r="X41">
        <v>12.42</v>
      </c>
      <c r="Y41">
        <v>9.56</v>
      </c>
      <c r="Z41">
        <v>28.7</v>
      </c>
      <c r="AA41">
        <v>30.16</v>
      </c>
      <c r="AB41">
        <v>2.31</v>
      </c>
      <c r="AC41">
        <v>3.15</v>
      </c>
      <c r="AD41">
        <v>89</v>
      </c>
      <c r="AE41">
        <v>96</v>
      </c>
      <c r="AF41">
        <v>71</v>
      </c>
      <c r="AG41">
        <v>80</v>
      </c>
    </row>
    <row r="42" spans="1:48" x14ac:dyDescent="0.2">
      <c r="A42" t="s">
        <v>106</v>
      </c>
      <c r="D42" t="s">
        <v>153</v>
      </c>
      <c r="E42">
        <v>11.64</v>
      </c>
      <c r="F42">
        <v>6.7</v>
      </c>
      <c r="G42">
        <v>0.57999999999999996</v>
      </c>
      <c r="H42">
        <v>88.82</v>
      </c>
      <c r="I42">
        <v>56.54</v>
      </c>
      <c r="K42" t="s">
        <v>23</v>
      </c>
      <c r="L42" t="s">
        <v>153</v>
      </c>
      <c r="M42">
        <f t="shared" si="0"/>
        <v>6.85</v>
      </c>
      <c r="N42">
        <f t="shared" si="4"/>
        <v>50.157499999999999</v>
      </c>
      <c r="O42">
        <f t="shared" si="1"/>
        <v>5.99</v>
      </c>
      <c r="P42">
        <f t="shared" si="2"/>
        <v>71.064999999999998</v>
      </c>
      <c r="Q42">
        <f t="shared" si="3"/>
        <v>75.504999999999995</v>
      </c>
      <c r="T42" t="s">
        <v>138</v>
      </c>
      <c r="U42" t="s">
        <v>75</v>
      </c>
      <c r="V42" t="s">
        <v>26</v>
      </c>
      <c r="W42" t="s">
        <v>153</v>
      </c>
      <c r="X42">
        <v>4.01</v>
      </c>
      <c r="Y42">
        <v>4.99</v>
      </c>
      <c r="Z42">
        <v>8.4700000000000006</v>
      </c>
      <c r="AA42">
        <v>10.53</v>
      </c>
      <c r="AB42">
        <v>2.11</v>
      </c>
      <c r="AC42">
        <v>2.11</v>
      </c>
      <c r="AD42">
        <v>63</v>
      </c>
      <c r="AE42">
        <v>88</v>
      </c>
      <c r="AF42">
        <v>71</v>
      </c>
      <c r="AG42">
        <v>65</v>
      </c>
      <c r="AI42" t="s">
        <v>30</v>
      </c>
      <c r="AJ42" t="s">
        <v>31</v>
      </c>
      <c r="AK42" t="s">
        <v>31</v>
      </c>
      <c r="AL42" t="s">
        <v>153</v>
      </c>
      <c r="AM42">
        <v>9.1199999999999992</v>
      </c>
      <c r="AN42">
        <v>9.2799999999999994</v>
      </c>
      <c r="AO42">
        <v>90.93</v>
      </c>
      <c r="AP42">
        <v>90.7</v>
      </c>
      <c r="AQ42">
        <v>9.9700000000000006</v>
      </c>
      <c r="AR42">
        <v>9.77</v>
      </c>
      <c r="AS42">
        <v>67.88</v>
      </c>
      <c r="AT42">
        <v>65.38</v>
      </c>
      <c r="AU42">
        <v>76.569999999999993</v>
      </c>
      <c r="AV42">
        <v>89.45</v>
      </c>
    </row>
    <row r="43" spans="1:48" x14ac:dyDescent="0.2">
      <c r="A43" t="s">
        <v>106</v>
      </c>
      <c r="D43" t="s">
        <v>154</v>
      </c>
      <c r="E43">
        <v>23.31</v>
      </c>
      <c r="F43">
        <v>14.96</v>
      </c>
      <c r="G43">
        <v>0.64</v>
      </c>
      <c r="H43">
        <v>93.54</v>
      </c>
      <c r="I43">
        <v>58.53</v>
      </c>
      <c r="K43" t="s">
        <v>23</v>
      </c>
      <c r="L43" t="s">
        <v>154</v>
      </c>
      <c r="M43">
        <f t="shared" si="0"/>
        <v>14.9</v>
      </c>
      <c r="N43">
        <f t="shared" si="4"/>
        <v>19.899999999999999</v>
      </c>
      <c r="O43">
        <f t="shared" si="1"/>
        <v>1.35</v>
      </c>
      <c r="P43">
        <f t="shared" si="2"/>
        <v>90.199999999999989</v>
      </c>
      <c r="Q43">
        <f t="shared" si="3"/>
        <v>65.8</v>
      </c>
      <c r="T43" t="s">
        <v>155</v>
      </c>
      <c r="U43" t="s">
        <v>156</v>
      </c>
      <c r="V43" t="s">
        <v>157</v>
      </c>
      <c r="W43" t="s">
        <v>154</v>
      </c>
      <c r="X43">
        <v>15.9</v>
      </c>
      <c r="Y43">
        <v>13.9</v>
      </c>
      <c r="Z43">
        <v>18.600000000000001</v>
      </c>
      <c r="AA43">
        <v>21.2</v>
      </c>
      <c r="AB43">
        <v>1.2</v>
      </c>
      <c r="AC43">
        <v>1.5</v>
      </c>
      <c r="AD43">
        <v>88.3</v>
      </c>
      <c r="AE43">
        <v>92.1</v>
      </c>
      <c r="AF43">
        <v>62.4</v>
      </c>
      <c r="AG43">
        <v>69.2</v>
      </c>
    </row>
    <row r="44" spans="1:48" x14ac:dyDescent="0.2">
      <c r="A44" t="s">
        <v>106</v>
      </c>
      <c r="D44" t="s">
        <v>158</v>
      </c>
      <c r="E44">
        <v>1.07</v>
      </c>
      <c r="F44">
        <v>15.58</v>
      </c>
      <c r="G44">
        <v>15.52</v>
      </c>
      <c r="H44">
        <v>70.23</v>
      </c>
      <c r="I44">
        <v>58</v>
      </c>
      <c r="K44" t="s">
        <v>23</v>
      </c>
      <c r="L44" t="s">
        <v>158</v>
      </c>
      <c r="M44">
        <f t="shared" si="0"/>
        <v>2.605</v>
      </c>
      <c r="N44">
        <f t="shared" si="4"/>
        <v>27.509999999999998</v>
      </c>
      <c r="O44">
        <f t="shared" si="1"/>
        <v>10.585000000000001</v>
      </c>
      <c r="P44">
        <f t="shared" si="2"/>
        <v>63</v>
      </c>
      <c r="Q44">
        <f t="shared" si="3"/>
        <v>74.5</v>
      </c>
      <c r="T44" t="s">
        <v>64</v>
      </c>
      <c r="U44" t="s">
        <v>45</v>
      </c>
      <c r="V44" t="s">
        <v>65</v>
      </c>
      <c r="W44" t="s">
        <v>158</v>
      </c>
      <c r="X44">
        <v>2.52</v>
      </c>
      <c r="Y44">
        <v>2.69</v>
      </c>
      <c r="Z44">
        <v>28.44</v>
      </c>
      <c r="AA44">
        <v>26.58</v>
      </c>
      <c r="AB44">
        <v>11.28</v>
      </c>
      <c r="AC44">
        <v>9.89</v>
      </c>
      <c r="AD44">
        <v>65</v>
      </c>
      <c r="AE44">
        <v>61</v>
      </c>
      <c r="AF44">
        <v>76</v>
      </c>
      <c r="AG44">
        <v>73</v>
      </c>
    </row>
    <row r="45" spans="1:48" x14ac:dyDescent="0.2">
      <c r="A45" t="s">
        <v>106</v>
      </c>
      <c r="D45" t="s">
        <v>159</v>
      </c>
      <c r="E45">
        <v>1.26</v>
      </c>
      <c r="F45">
        <v>1.98</v>
      </c>
      <c r="G45">
        <v>1.66</v>
      </c>
      <c r="H45">
        <v>109.15</v>
      </c>
      <c r="I45">
        <v>76.78</v>
      </c>
      <c r="K45" t="s">
        <v>23</v>
      </c>
      <c r="L45" t="s">
        <v>159</v>
      </c>
      <c r="M45">
        <f t="shared" si="0"/>
        <v>0.12</v>
      </c>
      <c r="N45">
        <f t="shared" si="4"/>
        <v>0.84000000000000008</v>
      </c>
      <c r="O45">
        <f t="shared" si="1"/>
        <v>7.0950000000000006</v>
      </c>
      <c r="P45">
        <f t="shared" si="2"/>
        <v>68.5</v>
      </c>
      <c r="Q45">
        <f t="shared" si="3"/>
        <v>57</v>
      </c>
      <c r="T45" t="s">
        <v>138</v>
      </c>
      <c r="U45" t="s">
        <v>75</v>
      </c>
      <c r="V45" t="s">
        <v>26</v>
      </c>
      <c r="W45" t="s">
        <v>159</v>
      </c>
      <c r="X45">
        <v>0.11</v>
      </c>
      <c r="Y45">
        <v>0.13</v>
      </c>
      <c r="Z45">
        <v>0.79</v>
      </c>
      <c r="AA45">
        <v>0.89</v>
      </c>
      <c r="AB45">
        <v>7.12</v>
      </c>
      <c r="AC45">
        <v>7.07</v>
      </c>
      <c r="AD45">
        <v>67</v>
      </c>
      <c r="AE45">
        <v>70</v>
      </c>
      <c r="AF45">
        <v>57</v>
      </c>
      <c r="AG45">
        <v>57</v>
      </c>
    </row>
    <row r="46" spans="1:48" x14ac:dyDescent="0.2">
      <c r="A46" t="s">
        <v>106</v>
      </c>
      <c r="D46" t="s">
        <v>160</v>
      </c>
      <c r="E46" t="e">
        <v>#VALUE!</v>
      </c>
      <c r="F46">
        <v>2.71</v>
      </c>
      <c r="G46" t="e">
        <v>#VALUE!</v>
      </c>
      <c r="H46" t="e">
        <v>#VALUE!</v>
      </c>
      <c r="I46">
        <v>22.8</v>
      </c>
      <c r="K46" t="s">
        <v>23</v>
      </c>
      <c r="L46" t="s">
        <v>160</v>
      </c>
      <c r="M46">
        <f t="shared" si="0"/>
        <v>10.185</v>
      </c>
      <c r="N46">
        <f t="shared" si="4"/>
        <v>71.974999999999994</v>
      </c>
      <c r="O46">
        <f t="shared" si="1"/>
        <v>10.234999999999999</v>
      </c>
      <c r="P46">
        <f t="shared" si="2"/>
        <v>61.72</v>
      </c>
      <c r="Q46">
        <f t="shared" si="3"/>
        <v>64.592500000000001</v>
      </c>
      <c r="T46" t="s">
        <v>138</v>
      </c>
      <c r="U46" t="s">
        <v>75</v>
      </c>
      <c r="V46" t="s">
        <v>26</v>
      </c>
      <c r="W46" t="s">
        <v>160</v>
      </c>
      <c r="X46">
        <v>0.79</v>
      </c>
      <c r="Y46">
        <v>3.81</v>
      </c>
      <c r="Z46">
        <v>16.66</v>
      </c>
      <c r="AA46">
        <v>19.72</v>
      </c>
      <c r="AB46">
        <v>21.09</v>
      </c>
      <c r="AC46">
        <v>5.17</v>
      </c>
      <c r="AD46">
        <v>53</v>
      </c>
      <c r="AE46">
        <v>57</v>
      </c>
      <c r="AF46">
        <v>53</v>
      </c>
      <c r="AG46">
        <v>57</v>
      </c>
      <c r="AI46" t="s">
        <v>30</v>
      </c>
      <c r="AJ46" t="s">
        <v>31</v>
      </c>
      <c r="AK46" t="s">
        <v>31</v>
      </c>
      <c r="AL46" t="s">
        <v>160</v>
      </c>
      <c r="AM46">
        <v>21.42</v>
      </c>
      <c r="AN46">
        <v>14.72</v>
      </c>
      <c r="AO46">
        <v>113.54</v>
      </c>
      <c r="AP46">
        <v>137.97999999999999</v>
      </c>
      <c r="AQ46">
        <v>5.3</v>
      </c>
      <c r="AR46">
        <v>9.3800000000000008</v>
      </c>
      <c r="AS46">
        <v>71.930000000000007</v>
      </c>
      <c r="AT46">
        <v>64.95</v>
      </c>
      <c r="AU46">
        <v>69.930000000000007</v>
      </c>
      <c r="AV46">
        <v>78.44</v>
      </c>
    </row>
    <row r="47" spans="1:48" x14ac:dyDescent="0.2">
      <c r="A47" t="s">
        <v>106</v>
      </c>
      <c r="D47" t="s">
        <v>161</v>
      </c>
      <c r="E47">
        <v>37.67</v>
      </c>
      <c r="F47">
        <v>6.43</v>
      </c>
      <c r="G47">
        <v>0.54</v>
      </c>
      <c r="H47">
        <v>92.09</v>
      </c>
      <c r="I47">
        <v>22.48</v>
      </c>
      <c r="K47" t="s">
        <v>23</v>
      </c>
      <c r="L47" t="s">
        <v>161</v>
      </c>
      <c r="M47">
        <f t="shared" si="0"/>
        <v>13.585000000000001</v>
      </c>
      <c r="N47">
        <f t="shared" si="4"/>
        <v>23.15</v>
      </c>
      <c r="O47">
        <f t="shared" si="1"/>
        <v>1.7000000000000002</v>
      </c>
      <c r="P47">
        <f t="shared" si="2"/>
        <v>77.5</v>
      </c>
      <c r="Q47">
        <f t="shared" si="3"/>
        <v>65</v>
      </c>
      <c r="T47" t="s">
        <v>138</v>
      </c>
      <c r="U47" t="s">
        <v>75</v>
      </c>
      <c r="V47" t="s">
        <v>26</v>
      </c>
      <c r="W47" t="s">
        <v>161</v>
      </c>
      <c r="X47">
        <v>12.72</v>
      </c>
      <c r="Y47">
        <v>14.45</v>
      </c>
      <c r="Z47">
        <v>20.64</v>
      </c>
      <c r="AA47">
        <v>25.66</v>
      </c>
      <c r="AB47">
        <v>1.62</v>
      </c>
      <c r="AC47">
        <v>1.78</v>
      </c>
      <c r="AD47">
        <v>78</v>
      </c>
      <c r="AE47">
        <v>77</v>
      </c>
      <c r="AF47">
        <v>60</v>
      </c>
      <c r="AG47">
        <v>70</v>
      </c>
    </row>
    <row r="48" spans="1:48" x14ac:dyDescent="0.2">
      <c r="A48" t="s">
        <v>106</v>
      </c>
      <c r="D48" t="s">
        <v>162</v>
      </c>
      <c r="E48">
        <v>4.1100000000000003</v>
      </c>
      <c r="F48">
        <v>9.59</v>
      </c>
      <c r="G48">
        <v>2.54</v>
      </c>
      <c r="H48">
        <v>24.73</v>
      </c>
      <c r="I48">
        <v>33.14</v>
      </c>
      <c r="K48" t="s">
        <v>23</v>
      </c>
      <c r="L48" t="s">
        <v>162</v>
      </c>
      <c r="M48">
        <f t="shared" si="0"/>
        <v>7.4950000000000001</v>
      </c>
      <c r="N48">
        <f t="shared" si="4"/>
        <v>22.98</v>
      </c>
      <c r="O48">
        <f t="shared" si="1"/>
        <v>3.9800000000000004</v>
      </c>
      <c r="P48">
        <f t="shared" si="2"/>
        <v>71.5</v>
      </c>
      <c r="Q48">
        <f t="shared" si="3"/>
        <v>58.5</v>
      </c>
      <c r="T48" t="s">
        <v>138</v>
      </c>
      <c r="U48" t="s">
        <v>75</v>
      </c>
      <c r="V48" t="s">
        <v>26</v>
      </c>
      <c r="W48" t="s">
        <v>162</v>
      </c>
      <c r="X48">
        <v>3.86</v>
      </c>
      <c r="Y48">
        <v>11.13</v>
      </c>
      <c r="Z48">
        <v>22.62</v>
      </c>
      <c r="AA48">
        <v>23.34</v>
      </c>
      <c r="AB48">
        <v>5.86</v>
      </c>
      <c r="AC48">
        <v>2.1</v>
      </c>
      <c r="AD48">
        <v>68</v>
      </c>
      <c r="AE48">
        <v>75</v>
      </c>
      <c r="AF48">
        <v>58</v>
      </c>
      <c r="AG48">
        <v>59</v>
      </c>
    </row>
    <row r="49" spans="1:55" x14ac:dyDescent="0.2">
      <c r="A49" t="s">
        <v>106</v>
      </c>
      <c r="D49" t="s">
        <v>163</v>
      </c>
      <c r="E49">
        <v>105.6</v>
      </c>
      <c r="F49">
        <v>38.51</v>
      </c>
      <c r="G49">
        <v>0.36</v>
      </c>
      <c r="H49">
        <v>209.65</v>
      </c>
      <c r="I49">
        <v>72.2</v>
      </c>
      <c r="K49" t="s">
        <v>23</v>
      </c>
      <c r="L49" t="s">
        <v>163</v>
      </c>
      <c r="M49">
        <f t="shared" si="0"/>
        <v>233.73</v>
      </c>
      <c r="N49">
        <f t="shared" si="4"/>
        <v>56.984999999999999</v>
      </c>
      <c r="O49">
        <f t="shared" si="1"/>
        <v>0.245</v>
      </c>
      <c r="P49">
        <f t="shared" si="2"/>
        <v>449</v>
      </c>
      <c r="Q49">
        <f t="shared" si="3"/>
        <v>110</v>
      </c>
      <c r="T49" t="s">
        <v>138</v>
      </c>
      <c r="U49" t="s">
        <v>75</v>
      </c>
      <c r="V49" t="s">
        <v>26</v>
      </c>
      <c r="W49" t="s">
        <v>163</v>
      </c>
      <c r="X49">
        <v>231.01</v>
      </c>
      <c r="Y49">
        <v>236.45</v>
      </c>
      <c r="Z49">
        <v>54.72</v>
      </c>
      <c r="AA49">
        <v>59.25</v>
      </c>
      <c r="AB49">
        <v>0.24</v>
      </c>
      <c r="AC49">
        <v>0.25</v>
      </c>
      <c r="AD49">
        <v>445</v>
      </c>
      <c r="AE49">
        <v>453</v>
      </c>
      <c r="AF49">
        <v>105</v>
      </c>
      <c r="AG49">
        <v>115</v>
      </c>
    </row>
    <row r="55" spans="1:55" x14ac:dyDescent="0.2">
      <c r="AY55" t="s">
        <v>4</v>
      </c>
      <c r="AZ55" t="s">
        <v>5</v>
      </c>
      <c r="BA55" t="s">
        <v>6</v>
      </c>
      <c r="BB55" t="s">
        <v>7</v>
      </c>
      <c r="BC55" t="s">
        <v>8</v>
      </c>
    </row>
    <row r="56" spans="1:55" x14ac:dyDescent="0.2">
      <c r="C56" t="s">
        <v>110</v>
      </c>
      <c r="D56" t="s">
        <v>112</v>
      </c>
      <c r="E56" t="s">
        <v>114</v>
      </c>
      <c r="F56" t="s">
        <v>115</v>
      </c>
      <c r="G56" t="s">
        <v>116</v>
      </c>
      <c r="H56" t="s">
        <v>117</v>
      </c>
      <c r="I56" t="s">
        <v>118</v>
      </c>
      <c r="J56" t="s">
        <v>119</v>
      </c>
      <c r="K56" t="s">
        <v>120</v>
      </c>
      <c r="L56" t="s">
        <v>122</v>
      </c>
      <c r="M56" t="s">
        <v>123</v>
      </c>
      <c r="N56" t="s">
        <v>124</v>
      </c>
      <c r="O56" t="s">
        <v>125</v>
      </c>
      <c r="P56" t="s">
        <v>126</v>
      </c>
      <c r="Q56" t="s">
        <v>128</v>
      </c>
      <c r="R56" t="s">
        <v>129</v>
      </c>
      <c r="S56" t="s">
        <v>130</v>
      </c>
      <c r="T56" t="s">
        <v>131</v>
      </c>
      <c r="U56" t="s">
        <v>132</v>
      </c>
      <c r="V56" t="s">
        <v>133</v>
      </c>
      <c r="W56" t="s">
        <v>134</v>
      </c>
      <c r="X56" t="s">
        <v>135</v>
      </c>
      <c r="Y56" t="s">
        <v>137</v>
      </c>
      <c r="Z56" t="s">
        <v>139</v>
      </c>
      <c r="AA56" t="s">
        <v>140</v>
      </c>
      <c r="AB56" t="s">
        <v>141</v>
      </c>
      <c r="AC56" t="s">
        <v>142</v>
      </c>
      <c r="AD56" t="s">
        <v>143</v>
      </c>
      <c r="AE56" t="s">
        <v>144</v>
      </c>
      <c r="AF56" t="s">
        <v>145</v>
      </c>
      <c r="AG56" t="s">
        <v>146</v>
      </c>
      <c r="AH56" t="s">
        <v>147</v>
      </c>
      <c r="AI56" t="s">
        <v>148</v>
      </c>
      <c r="AJ56" t="s">
        <v>149</v>
      </c>
      <c r="AK56" t="s">
        <v>150</v>
      </c>
      <c r="AL56" t="s">
        <v>151</v>
      </c>
      <c r="AM56" t="s">
        <v>152</v>
      </c>
      <c r="AN56" t="s">
        <v>153</v>
      </c>
      <c r="AO56" t="s">
        <v>154</v>
      </c>
      <c r="AP56" t="s">
        <v>158</v>
      </c>
      <c r="AQ56" t="s">
        <v>159</v>
      </c>
      <c r="AR56" t="s">
        <v>160</v>
      </c>
      <c r="AS56" t="s">
        <v>161</v>
      </c>
      <c r="AT56" t="s">
        <v>162</v>
      </c>
      <c r="AU56" t="s">
        <v>163</v>
      </c>
      <c r="AY56">
        <v>1.5833333333333333</v>
      </c>
      <c r="AZ56">
        <v>9.2619813921999992</v>
      </c>
      <c r="BA56">
        <v>27.555</v>
      </c>
      <c r="BB56">
        <v>22.953333333333333</v>
      </c>
      <c r="BC56">
        <v>49.694472147499994</v>
      </c>
    </row>
    <row r="57" spans="1:55" x14ac:dyDescent="0.2">
      <c r="B57" t="s">
        <v>164</v>
      </c>
      <c r="C57" t="e">
        <v>#VALUE!</v>
      </c>
      <c r="D57">
        <v>3.49</v>
      </c>
      <c r="E57" t="e">
        <v>#VALUE!</v>
      </c>
      <c r="F57">
        <v>8.24</v>
      </c>
      <c r="G57" t="e">
        <v>#VALUE!</v>
      </c>
      <c r="H57">
        <v>5.28</v>
      </c>
      <c r="I57" t="e">
        <v>#VALUE!</v>
      </c>
      <c r="J57" t="e">
        <v>#VALUE!</v>
      </c>
      <c r="K57">
        <v>13.19</v>
      </c>
      <c r="L57" t="e">
        <v>#VALUE!</v>
      </c>
      <c r="M57">
        <v>4.95</v>
      </c>
      <c r="N57" t="e">
        <v>#VALUE!</v>
      </c>
      <c r="O57" t="e">
        <v>#VALUE!</v>
      </c>
      <c r="P57" t="e">
        <v>#VALUE!</v>
      </c>
      <c r="Q57">
        <v>4.47</v>
      </c>
      <c r="R57">
        <v>13.99</v>
      </c>
      <c r="S57">
        <v>3.42</v>
      </c>
      <c r="T57">
        <v>0.4</v>
      </c>
      <c r="U57">
        <v>11.31</v>
      </c>
      <c r="V57" t="e">
        <v>#VALUE!</v>
      </c>
      <c r="W57" t="e">
        <v>#VALUE!</v>
      </c>
      <c r="X57">
        <v>10.220000000000001</v>
      </c>
      <c r="Y57">
        <v>3.15</v>
      </c>
      <c r="Z57">
        <v>0.73</v>
      </c>
      <c r="AA57">
        <v>6.97</v>
      </c>
      <c r="AB57">
        <v>150.19999999999999</v>
      </c>
      <c r="AC57">
        <v>1.34</v>
      </c>
      <c r="AD57">
        <v>7.72</v>
      </c>
      <c r="AE57">
        <v>10.55</v>
      </c>
      <c r="AF57" t="e">
        <v>#VALUE!</v>
      </c>
      <c r="AG57" t="e">
        <v>#VALUE!</v>
      </c>
      <c r="AH57" t="e">
        <v>#VALUE!</v>
      </c>
      <c r="AI57" t="e">
        <v>#VALUE!</v>
      </c>
      <c r="AJ57" t="e">
        <v>#VALUE!</v>
      </c>
      <c r="AK57">
        <v>7.99</v>
      </c>
      <c r="AL57" t="e">
        <v>#VALUE!</v>
      </c>
      <c r="AM57" t="e">
        <v>#VALUE!</v>
      </c>
      <c r="AN57">
        <v>11.64</v>
      </c>
      <c r="AO57">
        <v>23.31</v>
      </c>
      <c r="AP57">
        <v>1.07</v>
      </c>
      <c r="AQ57">
        <v>1.26</v>
      </c>
      <c r="AR57" t="e">
        <v>#VALUE!</v>
      </c>
      <c r="AS57">
        <v>37.67</v>
      </c>
      <c r="AT57">
        <v>4.1100000000000003</v>
      </c>
      <c r="AU57">
        <v>105.6</v>
      </c>
      <c r="AY57">
        <v>3.0556113603749999</v>
      </c>
      <c r="AZ57">
        <v>22.896905883999999</v>
      </c>
      <c r="BA57">
        <v>13.850584380000001</v>
      </c>
      <c r="BB57">
        <v>82.193915012500014</v>
      </c>
      <c r="BC57">
        <v>61.550241047500002</v>
      </c>
    </row>
    <row r="58" spans="1:55" x14ac:dyDescent="0.2">
      <c r="B58" t="s">
        <v>165</v>
      </c>
      <c r="C58">
        <v>19.13</v>
      </c>
      <c r="D58">
        <v>4.87</v>
      </c>
      <c r="E58" t="e">
        <v>#VALUE!</v>
      </c>
      <c r="F58">
        <v>2.63</v>
      </c>
      <c r="G58" t="e">
        <v>#VALUE!</v>
      </c>
      <c r="H58">
        <v>8.56</v>
      </c>
      <c r="I58">
        <v>8.08</v>
      </c>
      <c r="J58" t="e">
        <v>#VALUE!</v>
      </c>
      <c r="K58">
        <v>10.78</v>
      </c>
      <c r="L58">
        <v>22.53</v>
      </c>
      <c r="M58">
        <v>4.3899999999999997</v>
      </c>
      <c r="N58">
        <v>2.31</v>
      </c>
      <c r="O58">
        <v>0.22</v>
      </c>
      <c r="P58" t="e">
        <v>#VALUE!</v>
      </c>
      <c r="Q58">
        <v>6.6</v>
      </c>
      <c r="R58">
        <v>4.46</v>
      </c>
      <c r="S58">
        <v>2.2200000000000002</v>
      </c>
      <c r="T58">
        <v>12.39</v>
      </c>
      <c r="U58">
        <v>3.61</v>
      </c>
      <c r="V58">
        <v>3.04</v>
      </c>
      <c r="W58">
        <v>0.48</v>
      </c>
      <c r="X58">
        <v>7.03</v>
      </c>
      <c r="Y58">
        <v>23.56</v>
      </c>
      <c r="Z58">
        <v>14.4</v>
      </c>
      <c r="AA58">
        <v>8.17</v>
      </c>
      <c r="AB58">
        <v>44.39</v>
      </c>
      <c r="AC58">
        <v>0.43</v>
      </c>
      <c r="AD58">
        <v>14.21</v>
      </c>
      <c r="AE58">
        <v>13.9</v>
      </c>
      <c r="AF58" t="e">
        <v>#VALUE!</v>
      </c>
      <c r="AG58">
        <v>2.0099999999999998</v>
      </c>
      <c r="AH58" t="e">
        <v>#VALUE!</v>
      </c>
      <c r="AI58" t="e">
        <v>#VALUE!</v>
      </c>
      <c r="AJ58" t="e">
        <v>#VALUE!</v>
      </c>
      <c r="AK58">
        <v>23.86</v>
      </c>
      <c r="AL58">
        <v>64.13</v>
      </c>
      <c r="AM58">
        <v>10.56</v>
      </c>
      <c r="AN58">
        <v>6.7</v>
      </c>
      <c r="AO58">
        <v>14.96</v>
      </c>
      <c r="AP58">
        <v>15.58</v>
      </c>
      <c r="AQ58">
        <v>1.98</v>
      </c>
      <c r="AR58">
        <v>2.71</v>
      </c>
      <c r="AS58">
        <v>6.43</v>
      </c>
      <c r="AT58">
        <v>9.59</v>
      </c>
      <c r="AU58">
        <v>38.51</v>
      </c>
      <c r="AY58" t="s">
        <v>63</v>
      </c>
      <c r="AZ58" t="s">
        <v>63</v>
      </c>
      <c r="BA58" t="s">
        <v>63</v>
      </c>
      <c r="BB58" t="s">
        <v>63</v>
      </c>
      <c r="BC58" t="s">
        <v>63</v>
      </c>
    </row>
    <row r="59" spans="1:55" x14ac:dyDescent="0.2">
      <c r="B59" t="s">
        <v>166</v>
      </c>
      <c r="C59" t="e">
        <v>#VALUE!</v>
      </c>
      <c r="D59">
        <v>1.4</v>
      </c>
      <c r="E59" t="e">
        <v>#VALUE!</v>
      </c>
      <c r="F59">
        <v>0.32</v>
      </c>
      <c r="G59" t="e">
        <v>#VALUE!</v>
      </c>
      <c r="H59">
        <v>1.84</v>
      </c>
      <c r="I59" t="e">
        <v>#VALUE!</v>
      </c>
      <c r="J59" t="e">
        <v>#VALUE!</v>
      </c>
      <c r="K59">
        <v>0.92</v>
      </c>
      <c r="L59" t="e">
        <v>#VALUE!</v>
      </c>
      <c r="M59">
        <v>1.08</v>
      </c>
      <c r="N59" t="e">
        <v>#VALUE!</v>
      </c>
      <c r="O59" t="e">
        <v>#VALUE!</v>
      </c>
      <c r="P59" t="e">
        <v>#VALUE!</v>
      </c>
      <c r="Q59">
        <v>4.21</v>
      </c>
      <c r="R59">
        <v>0.32</v>
      </c>
      <c r="S59">
        <v>0.66</v>
      </c>
      <c r="T59">
        <v>31.86</v>
      </c>
      <c r="U59">
        <v>0.32</v>
      </c>
      <c r="V59" t="e">
        <v>#VALUE!</v>
      </c>
      <c r="W59" t="e">
        <v>#VALUE!</v>
      </c>
      <c r="X59">
        <v>0.69</v>
      </c>
      <c r="Y59">
        <v>8.7100000000000009</v>
      </c>
      <c r="Z59">
        <v>28.82</v>
      </c>
      <c r="AA59">
        <v>1.18</v>
      </c>
      <c r="AB59">
        <v>0.3</v>
      </c>
      <c r="AC59">
        <v>0.32</v>
      </c>
      <c r="AD59">
        <v>1.7</v>
      </c>
      <c r="AE59">
        <v>1.25</v>
      </c>
      <c r="AF59" t="e">
        <v>#VALUE!</v>
      </c>
      <c r="AG59" t="e">
        <v>#VALUE!</v>
      </c>
      <c r="AH59" t="e">
        <v>#VALUE!</v>
      </c>
      <c r="AI59" t="e">
        <v>#VALUE!</v>
      </c>
      <c r="AJ59" t="e">
        <v>#VALUE!</v>
      </c>
      <c r="AK59">
        <v>2.99</v>
      </c>
      <c r="AL59" t="e">
        <v>#VALUE!</v>
      </c>
      <c r="AM59" t="e">
        <v>#VALUE!</v>
      </c>
      <c r="AN59">
        <v>0.57999999999999996</v>
      </c>
      <c r="AO59">
        <v>0.64</v>
      </c>
      <c r="AP59">
        <v>15.52</v>
      </c>
      <c r="AQ59">
        <v>1.66</v>
      </c>
      <c r="AR59" t="e">
        <v>#VALUE!</v>
      </c>
      <c r="AS59">
        <v>0.54</v>
      </c>
      <c r="AT59">
        <v>2.54</v>
      </c>
      <c r="AU59">
        <v>0.36</v>
      </c>
      <c r="AY59">
        <v>0.67989963450000013</v>
      </c>
      <c r="AZ59">
        <v>9.9058650478571426</v>
      </c>
      <c r="BA59">
        <v>35.317710172857147</v>
      </c>
      <c r="BB59">
        <v>84.941487732499994</v>
      </c>
      <c r="BC59" t="e">
        <v>#DIV/0!</v>
      </c>
    </row>
    <row r="60" spans="1:55" x14ac:dyDescent="0.2">
      <c r="B60" t="s">
        <v>167</v>
      </c>
      <c r="C60" t="e">
        <v>#VALUE!</v>
      </c>
      <c r="D60">
        <v>92.17</v>
      </c>
      <c r="E60" t="e">
        <v>#VALUE!</v>
      </c>
      <c r="F60">
        <v>87.47</v>
      </c>
      <c r="G60" t="e">
        <v>#VALUE!</v>
      </c>
      <c r="H60">
        <v>55.52</v>
      </c>
      <c r="I60" t="e">
        <v>#VALUE!</v>
      </c>
      <c r="J60" t="e">
        <v>#VALUE!</v>
      </c>
      <c r="K60">
        <v>94.32</v>
      </c>
      <c r="L60" t="e">
        <v>#VALUE!</v>
      </c>
      <c r="M60">
        <v>79.66</v>
      </c>
      <c r="N60" t="e">
        <v>#VALUE!</v>
      </c>
      <c r="O60" t="e">
        <v>#VALUE!</v>
      </c>
      <c r="P60" t="e">
        <v>#VALUE!</v>
      </c>
      <c r="Q60">
        <v>32.619999999999997</v>
      </c>
      <c r="R60">
        <v>48.07</v>
      </c>
      <c r="S60">
        <v>64.349999999999994</v>
      </c>
      <c r="T60">
        <v>87.58</v>
      </c>
      <c r="U60">
        <v>77.27</v>
      </c>
      <c r="V60" t="e">
        <v>#VALUE!</v>
      </c>
      <c r="W60" t="e">
        <v>#VALUE!</v>
      </c>
      <c r="X60">
        <v>47.1</v>
      </c>
      <c r="Y60">
        <v>107.4</v>
      </c>
      <c r="Z60">
        <v>107.2</v>
      </c>
      <c r="AA60">
        <v>88.75</v>
      </c>
      <c r="AB60">
        <v>273.18</v>
      </c>
      <c r="AC60">
        <v>121.28</v>
      </c>
      <c r="AD60">
        <v>21.68</v>
      </c>
      <c r="AE60">
        <v>57.74</v>
      </c>
      <c r="AF60" t="e">
        <v>#VALUE!</v>
      </c>
      <c r="AG60" t="e">
        <v>#VALUE!</v>
      </c>
      <c r="AH60" t="e">
        <v>#VALUE!</v>
      </c>
      <c r="AI60" t="e">
        <v>#VALUE!</v>
      </c>
      <c r="AJ60" t="e">
        <v>#VALUE!</v>
      </c>
      <c r="AK60">
        <v>74.28</v>
      </c>
      <c r="AL60" t="e">
        <v>#VALUE!</v>
      </c>
      <c r="AM60" t="e">
        <v>#VALUE!</v>
      </c>
      <c r="AN60">
        <v>88.82</v>
      </c>
      <c r="AO60">
        <v>93.54</v>
      </c>
      <c r="AP60">
        <v>70.23</v>
      </c>
      <c r="AQ60">
        <v>109.15</v>
      </c>
      <c r="AR60" t="e">
        <v>#VALUE!</v>
      </c>
      <c r="AS60">
        <v>92.09</v>
      </c>
      <c r="AT60">
        <v>24.73</v>
      </c>
      <c r="AU60">
        <v>209.65</v>
      </c>
      <c r="AY60" t="s">
        <v>63</v>
      </c>
      <c r="AZ60">
        <v>56.03</v>
      </c>
      <c r="BA60" t="s">
        <v>63</v>
      </c>
      <c r="BB60" t="s">
        <v>63</v>
      </c>
      <c r="BC60">
        <v>58.175000000000004</v>
      </c>
    </row>
    <row r="61" spans="1:55" x14ac:dyDescent="0.2">
      <c r="B61" t="s">
        <v>168</v>
      </c>
      <c r="C61">
        <v>530.58000000000004</v>
      </c>
      <c r="D61">
        <v>52.38</v>
      </c>
      <c r="E61" t="e">
        <v>#VALUE!</v>
      </c>
      <c r="F61">
        <v>77.31</v>
      </c>
      <c r="G61" t="e">
        <v>#VALUE!</v>
      </c>
      <c r="H61">
        <v>59.02</v>
      </c>
      <c r="I61">
        <v>211.39</v>
      </c>
      <c r="J61" t="e">
        <v>#VALUE!</v>
      </c>
      <c r="K61">
        <v>61.39</v>
      </c>
      <c r="L61">
        <v>49.9</v>
      </c>
      <c r="M61">
        <v>51.33</v>
      </c>
      <c r="N61">
        <v>166.96</v>
      </c>
      <c r="O61">
        <v>53.15</v>
      </c>
      <c r="P61" t="e">
        <v>#VALUE!</v>
      </c>
      <c r="Q61">
        <v>25.81</v>
      </c>
      <c r="R61">
        <v>30.82</v>
      </c>
      <c r="S61">
        <v>55.05</v>
      </c>
      <c r="T61">
        <v>78.989999999999995</v>
      </c>
      <c r="U61">
        <v>63.32</v>
      </c>
      <c r="V61">
        <v>65.3</v>
      </c>
      <c r="W61">
        <v>40.5</v>
      </c>
      <c r="X61">
        <v>57.7</v>
      </c>
      <c r="Y61">
        <v>72.11</v>
      </c>
      <c r="Z61">
        <v>59.95</v>
      </c>
      <c r="AA61">
        <v>65.47</v>
      </c>
      <c r="AB61">
        <v>76.099999999999994</v>
      </c>
      <c r="AC61">
        <v>119.62</v>
      </c>
      <c r="AD61">
        <v>34.15</v>
      </c>
      <c r="AE61">
        <v>34.39</v>
      </c>
      <c r="AF61" t="e">
        <v>#VALUE!</v>
      </c>
      <c r="AG61">
        <v>71.959999999999994</v>
      </c>
      <c r="AH61" t="e">
        <v>#VALUE!</v>
      </c>
      <c r="AI61" t="e">
        <v>#VALUE!</v>
      </c>
      <c r="AJ61" t="e">
        <v>#VALUE!</v>
      </c>
      <c r="AK61">
        <v>53</v>
      </c>
      <c r="AL61" t="e">
        <v>#VALUE!</v>
      </c>
      <c r="AM61">
        <v>49.96</v>
      </c>
      <c r="AN61">
        <v>56.54</v>
      </c>
      <c r="AO61">
        <v>58.53</v>
      </c>
      <c r="AP61">
        <v>58</v>
      </c>
      <c r="AQ61">
        <v>76.78</v>
      </c>
      <c r="AR61">
        <v>22.8</v>
      </c>
      <c r="AS61">
        <v>22.48</v>
      </c>
      <c r="AT61">
        <v>33.14</v>
      </c>
      <c r="AU61">
        <v>72.2</v>
      </c>
      <c r="AY61">
        <v>0.43303531680000001</v>
      </c>
      <c r="AZ61">
        <v>12.338292969999999</v>
      </c>
      <c r="BA61">
        <v>35.315659419999996</v>
      </c>
      <c r="BB61">
        <v>100.5218265975</v>
      </c>
      <c r="BC61">
        <v>74.535198770000008</v>
      </c>
    </row>
    <row r="62" spans="1:55" x14ac:dyDescent="0.2">
      <c r="AY62" t="s">
        <v>63</v>
      </c>
      <c r="AZ62">
        <v>4.3149999999999995</v>
      </c>
      <c r="BA62" t="s">
        <v>63</v>
      </c>
      <c r="BB62" t="s">
        <v>63</v>
      </c>
      <c r="BC62">
        <v>30.5</v>
      </c>
    </row>
    <row r="63" spans="1:55" x14ac:dyDescent="0.2">
      <c r="B63" t="s">
        <v>169</v>
      </c>
      <c r="C63">
        <v>1.5833333333333333</v>
      </c>
      <c r="D63">
        <v>3.0556113603749999</v>
      </c>
      <c r="E63" t="s">
        <v>63</v>
      </c>
      <c r="F63">
        <v>0.67989963450000013</v>
      </c>
      <c r="G63" t="s">
        <v>63</v>
      </c>
      <c r="H63">
        <v>0.43303531680000001</v>
      </c>
      <c r="I63" t="s">
        <v>63</v>
      </c>
      <c r="J63">
        <v>221.51499999999999</v>
      </c>
      <c r="K63">
        <v>8.5304879170000003</v>
      </c>
      <c r="L63">
        <v>1.1599999999999999</v>
      </c>
      <c r="M63">
        <v>11.295</v>
      </c>
      <c r="N63" t="s">
        <v>63</v>
      </c>
      <c r="O63">
        <v>0.72500000000000009</v>
      </c>
      <c r="P63">
        <v>0.46579226571428572</v>
      </c>
      <c r="Q63">
        <v>2.0049999999999999</v>
      </c>
      <c r="R63" t="s">
        <v>63</v>
      </c>
      <c r="S63">
        <v>1.93</v>
      </c>
      <c r="T63">
        <v>0.57000000000000006</v>
      </c>
      <c r="U63">
        <v>1.1499999999999999</v>
      </c>
      <c r="V63">
        <v>1.4350000000000001</v>
      </c>
      <c r="W63" t="s">
        <v>63</v>
      </c>
      <c r="X63">
        <v>5.2392805874999997</v>
      </c>
      <c r="Y63">
        <v>4.3425000000000002</v>
      </c>
      <c r="Z63" t="s">
        <v>63</v>
      </c>
      <c r="AA63">
        <v>1.95</v>
      </c>
      <c r="AB63" t="s">
        <v>63</v>
      </c>
      <c r="AC63">
        <v>0.7</v>
      </c>
      <c r="AD63">
        <v>13.94</v>
      </c>
      <c r="AE63">
        <v>16.61</v>
      </c>
      <c r="AF63" t="s">
        <v>63</v>
      </c>
      <c r="AG63" t="s">
        <v>63</v>
      </c>
      <c r="AH63">
        <v>0.60499999999999998</v>
      </c>
      <c r="AI63" t="s">
        <v>63</v>
      </c>
      <c r="AJ63">
        <v>0.38500000000000001</v>
      </c>
      <c r="AK63">
        <v>6.0674999999999999</v>
      </c>
      <c r="AL63" t="s">
        <v>63</v>
      </c>
      <c r="AM63">
        <v>10.99</v>
      </c>
      <c r="AN63">
        <v>6.85</v>
      </c>
      <c r="AO63">
        <v>14.9</v>
      </c>
      <c r="AP63">
        <v>2.605</v>
      </c>
      <c r="AQ63">
        <v>0.12</v>
      </c>
      <c r="AR63">
        <v>10.185</v>
      </c>
      <c r="AS63">
        <v>13.585000000000001</v>
      </c>
      <c r="AT63">
        <v>7.4950000000000001</v>
      </c>
      <c r="AU63">
        <v>233.73</v>
      </c>
      <c r="AY63">
        <v>221.51499999999999</v>
      </c>
      <c r="AZ63" t="s">
        <v>63</v>
      </c>
      <c r="BA63">
        <v>311</v>
      </c>
      <c r="BB63">
        <v>417.5</v>
      </c>
      <c r="BC63" t="s">
        <v>63</v>
      </c>
    </row>
    <row r="64" spans="1:55" x14ac:dyDescent="0.2">
      <c r="B64" t="s">
        <v>170</v>
      </c>
      <c r="C64">
        <v>9.2619813921999992</v>
      </c>
      <c r="D64">
        <v>22.896905883999999</v>
      </c>
      <c r="E64" t="s">
        <v>63</v>
      </c>
      <c r="F64">
        <v>9.9058650478571426</v>
      </c>
      <c r="G64">
        <v>56.03</v>
      </c>
      <c r="H64">
        <v>12.338292969999999</v>
      </c>
      <c r="I64">
        <v>4.3149999999999995</v>
      </c>
      <c r="J64" t="s">
        <v>63</v>
      </c>
      <c r="K64">
        <v>50.46587084883334</v>
      </c>
      <c r="L64">
        <v>32.5</v>
      </c>
      <c r="M64">
        <v>6.1400000000000006</v>
      </c>
      <c r="N64">
        <v>1.7050000000000001</v>
      </c>
      <c r="O64">
        <v>2.15</v>
      </c>
      <c r="P64">
        <v>0.78420269850000002</v>
      </c>
      <c r="Q64">
        <v>5.2200000000000006</v>
      </c>
      <c r="R64">
        <v>10.625</v>
      </c>
      <c r="S64">
        <v>6.5299999999999994</v>
      </c>
      <c r="T64">
        <v>22.520000000000003</v>
      </c>
      <c r="U64">
        <v>8.43</v>
      </c>
      <c r="V64">
        <v>3.4850000000000003</v>
      </c>
      <c r="W64" t="s">
        <v>63</v>
      </c>
      <c r="X64">
        <v>29.199502880000001</v>
      </c>
      <c r="Y64">
        <v>82.492500000000007</v>
      </c>
      <c r="Z64">
        <v>24.17</v>
      </c>
      <c r="AA64">
        <v>8.004999999999999</v>
      </c>
      <c r="AB64">
        <v>0.33</v>
      </c>
      <c r="AC64">
        <v>18.68</v>
      </c>
      <c r="AD64">
        <v>16.740000000000002</v>
      </c>
      <c r="AE64">
        <v>27.155000000000001</v>
      </c>
      <c r="AF64">
        <v>11.705</v>
      </c>
      <c r="AG64">
        <v>8.7349999999999994</v>
      </c>
      <c r="AH64">
        <v>0.29000000000000004</v>
      </c>
      <c r="AI64">
        <v>9.48</v>
      </c>
      <c r="AJ64">
        <v>1.2799999999999998</v>
      </c>
      <c r="AK64">
        <v>33.229999999999997</v>
      </c>
      <c r="AL64" t="s">
        <v>63</v>
      </c>
      <c r="AM64">
        <v>29.43</v>
      </c>
      <c r="AN64">
        <v>50.157499999999999</v>
      </c>
      <c r="AO64">
        <v>19.899999999999999</v>
      </c>
      <c r="AP64">
        <v>27.509999999999998</v>
      </c>
      <c r="AQ64">
        <v>0.84000000000000008</v>
      </c>
      <c r="AR64">
        <v>71.974999999999994</v>
      </c>
      <c r="AS64">
        <v>23.15</v>
      </c>
      <c r="AT64">
        <v>22.98</v>
      </c>
      <c r="AU64">
        <v>56.984999999999999</v>
      </c>
      <c r="AY64">
        <v>8.5304879170000003</v>
      </c>
      <c r="AZ64">
        <v>50.46587084883334</v>
      </c>
      <c r="BA64">
        <v>14.902191688666667</v>
      </c>
      <c r="BB64">
        <v>72.485937961666664</v>
      </c>
      <c r="BC64">
        <v>60.67518295</v>
      </c>
    </row>
    <row r="65" spans="2:55" x14ac:dyDescent="0.2">
      <c r="B65" t="s">
        <v>171</v>
      </c>
      <c r="C65">
        <v>27.555</v>
      </c>
      <c r="D65">
        <v>13.850584380000001</v>
      </c>
      <c r="E65" t="s">
        <v>63</v>
      </c>
      <c r="F65">
        <v>35.317710172857147</v>
      </c>
      <c r="G65" t="s">
        <v>63</v>
      </c>
      <c r="H65">
        <v>35.315659419999996</v>
      </c>
      <c r="I65" t="s">
        <v>63</v>
      </c>
      <c r="J65">
        <v>311</v>
      </c>
      <c r="K65">
        <v>14.902191688666667</v>
      </c>
      <c r="L65">
        <v>52.17</v>
      </c>
      <c r="M65">
        <v>40.270000000000003</v>
      </c>
      <c r="N65" t="s">
        <v>63</v>
      </c>
      <c r="O65">
        <v>32.994999999999997</v>
      </c>
      <c r="P65">
        <v>13.991749348499999</v>
      </c>
      <c r="Q65">
        <v>28.715</v>
      </c>
      <c r="R65" t="s">
        <v>63</v>
      </c>
      <c r="S65">
        <v>34.229999999999997</v>
      </c>
      <c r="T65">
        <v>51.18</v>
      </c>
      <c r="U65">
        <v>38.28</v>
      </c>
      <c r="V65">
        <v>38.1</v>
      </c>
      <c r="W65" t="s">
        <v>63</v>
      </c>
      <c r="X65">
        <v>12.268525617000002</v>
      </c>
      <c r="Y65">
        <v>48.914999999999999</v>
      </c>
      <c r="Z65" t="s">
        <v>63</v>
      </c>
      <c r="AA65">
        <v>31.009999999999998</v>
      </c>
      <c r="AB65" t="s">
        <v>63</v>
      </c>
      <c r="AC65">
        <v>48.99</v>
      </c>
      <c r="AD65">
        <v>43.25</v>
      </c>
      <c r="AE65">
        <v>36.344999999999999</v>
      </c>
      <c r="AF65" t="s">
        <v>63</v>
      </c>
      <c r="AG65" t="s">
        <v>63</v>
      </c>
      <c r="AH65">
        <v>19.09</v>
      </c>
      <c r="AI65" t="s">
        <v>63</v>
      </c>
      <c r="AJ65">
        <v>35.75</v>
      </c>
      <c r="AK65">
        <v>23.204999999999998</v>
      </c>
      <c r="AL65" t="s">
        <v>63</v>
      </c>
      <c r="AM65">
        <v>46.075000000000003</v>
      </c>
      <c r="AN65">
        <v>21.212499999999999</v>
      </c>
      <c r="AO65">
        <v>44.9</v>
      </c>
      <c r="AP65">
        <v>37.445</v>
      </c>
      <c r="AQ65">
        <v>37.034999999999997</v>
      </c>
      <c r="AR65">
        <v>18.212499999999999</v>
      </c>
      <c r="AS65">
        <v>39.89</v>
      </c>
      <c r="AT65">
        <v>35.049999999999997</v>
      </c>
      <c r="AU65">
        <v>222.625</v>
      </c>
      <c r="AY65">
        <v>1.1599999999999999</v>
      </c>
      <c r="AZ65">
        <v>32.5</v>
      </c>
      <c r="BA65">
        <v>52.17</v>
      </c>
      <c r="BB65">
        <v>77</v>
      </c>
      <c r="BC65">
        <v>72.5</v>
      </c>
    </row>
    <row r="66" spans="2:55" x14ac:dyDescent="0.2">
      <c r="B66" t="s">
        <v>172</v>
      </c>
      <c r="C66">
        <v>22.953333333333333</v>
      </c>
      <c r="D66">
        <v>82.193915012500014</v>
      </c>
      <c r="E66" t="s">
        <v>63</v>
      </c>
      <c r="F66">
        <v>84.941487732499994</v>
      </c>
      <c r="G66" t="s">
        <v>63</v>
      </c>
      <c r="H66">
        <v>100.5218265975</v>
      </c>
      <c r="I66" t="s">
        <v>63</v>
      </c>
      <c r="J66">
        <v>417.5</v>
      </c>
      <c r="K66">
        <v>72.485937961666664</v>
      </c>
      <c r="L66">
        <v>77</v>
      </c>
      <c r="M66">
        <v>78</v>
      </c>
      <c r="N66" t="s">
        <v>63</v>
      </c>
      <c r="O66">
        <v>62</v>
      </c>
      <c r="P66">
        <v>23.867484058333336</v>
      </c>
      <c r="Q66">
        <v>62.5</v>
      </c>
      <c r="R66" t="s">
        <v>63</v>
      </c>
      <c r="S66">
        <v>64</v>
      </c>
      <c r="T66">
        <v>73.5</v>
      </c>
      <c r="U66">
        <v>69</v>
      </c>
      <c r="V66">
        <v>75.5</v>
      </c>
      <c r="W66" t="s">
        <v>63</v>
      </c>
      <c r="X66">
        <v>60.468674983333329</v>
      </c>
      <c r="Y66">
        <v>79.14500000000001</v>
      </c>
      <c r="Z66" t="s">
        <v>63</v>
      </c>
      <c r="AA66">
        <v>59</v>
      </c>
      <c r="AB66" t="s">
        <v>63</v>
      </c>
      <c r="AC66">
        <v>72</v>
      </c>
      <c r="AD66">
        <v>80.775000000000006</v>
      </c>
      <c r="AE66">
        <v>76.27000000000001</v>
      </c>
      <c r="AF66" t="s">
        <v>63</v>
      </c>
      <c r="AG66" t="s">
        <v>63</v>
      </c>
      <c r="AH66">
        <v>36</v>
      </c>
      <c r="AI66" t="s">
        <v>63</v>
      </c>
      <c r="AJ66">
        <v>70.16</v>
      </c>
      <c r="AK66">
        <v>84.195000000000007</v>
      </c>
      <c r="AL66" t="s">
        <v>63</v>
      </c>
      <c r="AM66">
        <v>92.5</v>
      </c>
      <c r="AN66">
        <v>71.064999999999998</v>
      </c>
      <c r="AO66">
        <v>90.199999999999989</v>
      </c>
      <c r="AP66">
        <v>63</v>
      </c>
      <c r="AQ66">
        <v>68.5</v>
      </c>
      <c r="AR66">
        <v>61.72</v>
      </c>
      <c r="AS66">
        <v>77.5</v>
      </c>
      <c r="AT66">
        <v>71.5</v>
      </c>
      <c r="AU66">
        <v>449</v>
      </c>
      <c r="AY66">
        <v>11.295</v>
      </c>
      <c r="AZ66">
        <v>6.1400000000000006</v>
      </c>
      <c r="BA66">
        <v>40.270000000000003</v>
      </c>
      <c r="BB66">
        <v>78</v>
      </c>
      <c r="BC66">
        <v>47.5</v>
      </c>
    </row>
    <row r="67" spans="2:55" x14ac:dyDescent="0.2">
      <c r="B67" t="s">
        <v>173</v>
      </c>
      <c r="C67">
        <v>49.694472147499994</v>
      </c>
      <c r="D67">
        <v>61.550241047500002</v>
      </c>
      <c r="E67" t="s">
        <v>63</v>
      </c>
      <c r="F67" t="e">
        <v>#DIV/0!</v>
      </c>
      <c r="G67">
        <v>58.175000000000004</v>
      </c>
      <c r="H67">
        <v>74.535198770000008</v>
      </c>
      <c r="I67">
        <v>30.5</v>
      </c>
      <c r="J67" t="s">
        <v>63</v>
      </c>
      <c r="K67">
        <v>60.67518295</v>
      </c>
      <c r="L67">
        <v>72.5</v>
      </c>
      <c r="M67">
        <v>47.5</v>
      </c>
      <c r="N67">
        <v>73.5</v>
      </c>
      <c r="O67">
        <v>43</v>
      </c>
      <c r="P67">
        <v>40.515983448571433</v>
      </c>
      <c r="Q67">
        <v>54</v>
      </c>
      <c r="R67">
        <v>66.5</v>
      </c>
      <c r="S67">
        <v>63.5</v>
      </c>
      <c r="T67">
        <v>75.5</v>
      </c>
      <c r="U67">
        <v>69.5</v>
      </c>
      <c r="V67">
        <v>51.5</v>
      </c>
      <c r="W67" t="s">
        <v>63</v>
      </c>
      <c r="X67">
        <v>69.480406254999991</v>
      </c>
      <c r="Y67">
        <v>70.202500000000001</v>
      </c>
      <c r="Z67">
        <v>81.5</v>
      </c>
      <c r="AA67">
        <v>63</v>
      </c>
      <c r="AB67">
        <v>57</v>
      </c>
      <c r="AC67">
        <v>63.5</v>
      </c>
      <c r="AD67">
        <v>64.08</v>
      </c>
      <c r="AE67">
        <v>69.87</v>
      </c>
      <c r="AF67">
        <v>30.5</v>
      </c>
      <c r="AG67">
        <v>76.5</v>
      </c>
      <c r="AH67">
        <v>45</v>
      </c>
      <c r="AI67">
        <v>34.5</v>
      </c>
      <c r="AJ67">
        <v>50.41</v>
      </c>
      <c r="AK67">
        <v>72.837500000000006</v>
      </c>
      <c r="AL67" t="s">
        <v>63</v>
      </c>
      <c r="AM67">
        <v>75.5</v>
      </c>
      <c r="AN67">
        <v>75.504999999999995</v>
      </c>
      <c r="AO67">
        <v>65.8</v>
      </c>
      <c r="AP67">
        <v>74.5</v>
      </c>
      <c r="AQ67">
        <v>57</v>
      </c>
      <c r="AR67">
        <v>64.592500000000001</v>
      </c>
      <c r="AS67">
        <v>65</v>
      </c>
      <c r="AT67">
        <v>58.5</v>
      </c>
      <c r="AU67">
        <v>110</v>
      </c>
      <c r="AY67" t="s">
        <v>63</v>
      </c>
      <c r="AZ67">
        <v>1.7050000000000001</v>
      </c>
      <c r="BA67" t="s">
        <v>63</v>
      </c>
      <c r="BB67" t="s">
        <v>63</v>
      </c>
      <c r="BC67">
        <v>73.5</v>
      </c>
    </row>
    <row r="68" spans="2:55" x14ac:dyDescent="0.2">
      <c r="AY68">
        <v>0.72500000000000009</v>
      </c>
      <c r="AZ68">
        <v>2.15</v>
      </c>
      <c r="BA68">
        <v>32.994999999999997</v>
      </c>
      <c r="BB68">
        <v>62</v>
      </c>
      <c r="BC68">
        <v>43</v>
      </c>
    </row>
    <row r="69" spans="2:55" x14ac:dyDescent="0.2">
      <c r="AY69">
        <v>0.46579226571428572</v>
      </c>
      <c r="AZ69">
        <v>0.78420269850000002</v>
      </c>
      <c r="BA69">
        <v>13.991749348499999</v>
      </c>
      <c r="BB69">
        <v>23.867484058333336</v>
      </c>
      <c r="BC69">
        <v>40.515983448571433</v>
      </c>
    </row>
    <row r="70" spans="2:55" x14ac:dyDescent="0.2">
      <c r="B70" t="s">
        <v>164</v>
      </c>
      <c r="C70" t="s">
        <v>165</v>
      </c>
      <c r="D70" t="s">
        <v>166</v>
      </c>
      <c r="E70" t="s">
        <v>167</v>
      </c>
      <c r="F70" t="s">
        <v>168</v>
      </c>
      <c r="AY70">
        <v>2.0049999999999999</v>
      </c>
      <c r="AZ70">
        <v>5.2200000000000006</v>
      </c>
      <c r="BA70">
        <v>28.715</v>
      </c>
      <c r="BB70">
        <v>62.5</v>
      </c>
      <c r="BC70">
        <v>54</v>
      </c>
    </row>
    <row r="71" spans="2:55" x14ac:dyDescent="0.2">
      <c r="AY71" t="s">
        <v>63</v>
      </c>
      <c r="AZ71">
        <v>10.625</v>
      </c>
      <c r="BA71" t="s">
        <v>63</v>
      </c>
      <c r="BB71" t="s">
        <v>63</v>
      </c>
      <c r="BC71">
        <v>66.5</v>
      </c>
    </row>
    <row r="72" spans="2:55" x14ac:dyDescent="0.2">
      <c r="AY72">
        <v>1.93</v>
      </c>
      <c r="AZ72">
        <v>6.5299999999999994</v>
      </c>
      <c r="BA72">
        <v>34.229999999999997</v>
      </c>
      <c r="BB72">
        <v>64</v>
      </c>
      <c r="BC72">
        <v>63.5</v>
      </c>
    </row>
    <row r="73" spans="2:55" x14ac:dyDescent="0.2">
      <c r="B73" t="s">
        <v>169</v>
      </c>
      <c r="C73" t="s">
        <v>170</v>
      </c>
      <c r="D73" t="s">
        <v>171</v>
      </c>
      <c r="E73" t="s">
        <v>172</v>
      </c>
      <c r="F73" t="s">
        <v>173</v>
      </c>
      <c r="AY73">
        <v>0.57000000000000006</v>
      </c>
      <c r="AZ73">
        <v>22.520000000000003</v>
      </c>
      <c r="BA73">
        <v>51.18</v>
      </c>
      <c r="BB73">
        <v>73.5</v>
      </c>
      <c r="BC73">
        <v>75.5</v>
      </c>
    </row>
    <row r="74" spans="2:55" x14ac:dyDescent="0.2">
      <c r="AY74">
        <v>1.1499999999999999</v>
      </c>
      <c r="AZ74">
        <v>8.43</v>
      </c>
      <c r="BA74">
        <v>38.28</v>
      </c>
      <c r="BB74">
        <v>69</v>
      </c>
      <c r="BC74">
        <v>69.5</v>
      </c>
    </row>
    <row r="75" spans="2:55" x14ac:dyDescent="0.2">
      <c r="AY75">
        <v>1.4350000000000001</v>
      </c>
      <c r="AZ75">
        <v>3.4850000000000003</v>
      </c>
      <c r="BA75">
        <v>38.1</v>
      </c>
      <c r="BB75">
        <v>75.5</v>
      </c>
      <c r="BC75">
        <v>51.5</v>
      </c>
    </row>
    <row r="76" spans="2:55" x14ac:dyDescent="0.2">
      <c r="AY76" t="s">
        <v>63</v>
      </c>
      <c r="AZ76" t="s">
        <v>63</v>
      </c>
      <c r="BA76" t="s">
        <v>63</v>
      </c>
      <c r="BB76" t="s">
        <v>63</v>
      </c>
      <c r="BC76" t="s">
        <v>63</v>
      </c>
    </row>
    <row r="77" spans="2:55" x14ac:dyDescent="0.2">
      <c r="AY77">
        <v>5.2392805874999997</v>
      </c>
      <c r="AZ77">
        <v>29.199502880000001</v>
      </c>
      <c r="BA77">
        <v>12.268525617000002</v>
      </c>
      <c r="BB77">
        <v>60.468674983333329</v>
      </c>
      <c r="BC77">
        <v>69.480406254999991</v>
      </c>
    </row>
    <row r="78" spans="2:55" x14ac:dyDescent="0.2">
      <c r="AY78">
        <v>4.3425000000000002</v>
      </c>
      <c r="AZ78">
        <v>82.492500000000007</v>
      </c>
      <c r="BA78">
        <v>48.914999999999999</v>
      </c>
      <c r="BB78">
        <v>79.14500000000001</v>
      </c>
      <c r="BC78">
        <v>70.202500000000001</v>
      </c>
    </row>
    <row r="79" spans="2:55" x14ac:dyDescent="0.2">
      <c r="AY79" t="s">
        <v>63</v>
      </c>
      <c r="AZ79">
        <v>24.17</v>
      </c>
      <c r="BA79" t="s">
        <v>63</v>
      </c>
      <c r="BB79" t="s">
        <v>63</v>
      </c>
      <c r="BC79">
        <v>81.5</v>
      </c>
    </row>
    <row r="80" spans="2:55" x14ac:dyDescent="0.2">
      <c r="AY80">
        <v>1.95</v>
      </c>
      <c r="AZ80">
        <v>8.004999999999999</v>
      </c>
      <c r="BA80">
        <v>31.009999999999998</v>
      </c>
      <c r="BB80">
        <v>59</v>
      </c>
      <c r="BC80">
        <v>63</v>
      </c>
    </row>
    <row r="81" spans="51:55" x14ac:dyDescent="0.2">
      <c r="AY81" t="s">
        <v>63</v>
      </c>
      <c r="AZ81">
        <v>0.33</v>
      </c>
      <c r="BA81" t="s">
        <v>63</v>
      </c>
      <c r="BB81" t="s">
        <v>63</v>
      </c>
      <c r="BC81">
        <v>57</v>
      </c>
    </row>
    <row r="82" spans="51:55" x14ac:dyDescent="0.2">
      <c r="AY82">
        <v>0.7</v>
      </c>
      <c r="AZ82">
        <v>18.68</v>
      </c>
      <c r="BA82">
        <v>48.99</v>
      </c>
      <c r="BB82">
        <v>72</v>
      </c>
      <c r="BC82">
        <v>63.5</v>
      </c>
    </row>
    <row r="83" spans="51:55" x14ac:dyDescent="0.2">
      <c r="AY83">
        <v>13.94</v>
      </c>
      <c r="AZ83">
        <v>16.740000000000002</v>
      </c>
      <c r="BA83">
        <v>43.25</v>
      </c>
      <c r="BB83">
        <v>80.775000000000006</v>
      </c>
      <c r="BC83">
        <v>64.08</v>
      </c>
    </row>
    <row r="84" spans="51:55" x14ac:dyDescent="0.2">
      <c r="AY84">
        <v>16.61</v>
      </c>
      <c r="AZ84">
        <v>27.155000000000001</v>
      </c>
      <c r="BA84">
        <v>36.344999999999999</v>
      </c>
      <c r="BB84">
        <v>76.27000000000001</v>
      </c>
      <c r="BC84">
        <v>69.87</v>
      </c>
    </row>
    <row r="85" spans="51:55" x14ac:dyDescent="0.2">
      <c r="AY85" t="s">
        <v>63</v>
      </c>
      <c r="AZ85">
        <v>11.705</v>
      </c>
      <c r="BA85" t="s">
        <v>63</v>
      </c>
      <c r="BB85" t="s">
        <v>63</v>
      </c>
      <c r="BC85">
        <v>30.5</v>
      </c>
    </row>
    <row r="86" spans="51:55" x14ac:dyDescent="0.2">
      <c r="AY86" t="s">
        <v>63</v>
      </c>
      <c r="AZ86">
        <v>8.7349999999999994</v>
      </c>
      <c r="BA86" t="s">
        <v>63</v>
      </c>
      <c r="BB86" t="s">
        <v>63</v>
      </c>
      <c r="BC86">
        <v>76.5</v>
      </c>
    </row>
    <row r="87" spans="51:55" x14ac:dyDescent="0.2">
      <c r="AY87">
        <v>0.60499999999999998</v>
      </c>
      <c r="AZ87">
        <v>0.29000000000000004</v>
      </c>
      <c r="BA87">
        <v>19.09</v>
      </c>
      <c r="BB87">
        <v>36</v>
      </c>
      <c r="BC87">
        <v>45</v>
      </c>
    </row>
    <row r="88" spans="51:55" x14ac:dyDescent="0.2">
      <c r="AY88" t="s">
        <v>63</v>
      </c>
      <c r="AZ88">
        <v>9.48</v>
      </c>
      <c r="BA88" t="s">
        <v>63</v>
      </c>
      <c r="BB88" t="s">
        <v>63</v>
      </c>
      <c r="BC88">
        <v>34.5</v>
      </c>
    </row>
    <row r="89" spans="51:55" x14ac:dyDescent="0.2">
      <c r="AY89">
        <v>0.38500000000000001</v>
      </c>
      <c r="AZ89">
        <v>1.2799999999999998</v>
      </c>
      <c r="BA89">
        <v>35.75</v>
      </c>
      <c r="BB89">
        <v>70.16</v>
      </c>
      <c r="BC89">
        <v>50.41</v>
      </c>
    </row>
    <row r="90" spans="51:55" x14ac:dyDescent="0.2">
      <c r="AY90">
        <v>6.0674999999999999</v>
      </c>
      <c r="AZ90">
        <v>33.229999999999997</v>
      </c>
      <c r="BA90">
        <v>23.204999999999998</v>
      </c>
      <c r="BB90">
        <v>84.195000000000007</v>
      </c>
      <c r="BC90">
        <v>72.837500000000006</v>
      </c>
    </row>
    <row r="91" spans="51:55" x14ac:dyDescent="0.2">
      <c r="AY91" t="s">
        <v>63</v>
      </c>
      <c r="AZ91" t="s">
        <v>63</v>
      </c>
      <c r="BA91" t="s">
        <v>63</v>
      </c>
      <c r="BB91" t="s">
        <v>63</v>
      </c>
      <c r="BC91" t="s">
        <v>63</v>
      </c>
    </row>
    <row r="92" spans="51:55" x14ac:dyDescent="0.2">
      <c r="AY92">
        <v>10.99</v>
      </c>
      <c r="AZ92">
        <v>29.43</v>
      </c>
      <c r="BA92">
        <v>46.075000000000003</v>
      </c>
      <c r="BB92">
        <v>92.5</v>
      </c>
      <c r="BC92">
        <v>75.5</v>
      </c>
    </row>
    <row r="93" spans="51:55" x14ac:dyDescent="0.2">
      <c r="AY93">
        <v>6.85</v>
      </c>
      <c r="AZ93">
        <v>50.157499999999999</v>
      </c>
      <c r="BA93">
        <v>21.212499999999999</v>
      </c>
      <c r="BB93">
        <v>71.064999999999998</v>
      </c>
      <c r="BC93">
        <v>75.504999999999995</v>
      </c>
    </row>
    <row r="94" spans="51:55" x14ac:dyDescent="0.2">
      <c r="AY94">
        <v>14.9</v>
      </c>
      <c r="AZ94">
        <v>19.899999999999999</v>
      </c>
      <c r="BA94">
        <v>44.9</v>
      </c>
      <c r="BB94">
        <v>90.199999999999989</v>
      </c>
      <c r="BC94">
        <v>65.8</v>
      </c>
    </row>
    <row r="95" spans="51:55" x14ac:dyDescent="0.2">
      <c r="AY95">
        <v>2.605</v>
      </c>
      <c r="AZ95">
        <v>27.509999999999998</v>
      </c>
      <c r="BA95">
        <v>37.445</v>
      </c>
      <c r="BB95">
        <v>63</v>
      </c>
      <c r="BC95">
        <v>74.5</v>
      </c>
    </row>
    <row r="96" spans="51:55" x14ac:dyDescent="0.2">
      <c r="AY96">
        <v>0.12</v>
      </c>
      <c r="AZ96">
        <v>0.84000000000000008</v>
      </c>
      <c r="BA96">
        <v>37.034999999999997</v>
      </c>
      <c r="BB96">
        <v>68.5</v>
      </c>
      <c r="BC96">
        <v>57</v>
      </c>
    </row>
    <row r="97" spans="51:55" x14ac:dyDescent="0.2">
      <c r="AY97">
        <v>10.185</v>
      </c>
      <c r="AZ97">
        <v>71.974999999999994</v>
      </c>
      <c r="BA97">
        <v>18.212499999999999</v>
      </c>
      <c r="BB97">
        <v>61.72</v>
      </c>
      <c r="BC97">
        <v>64.592500000000001</v>
      </c>
    </row>
    <row r="98" spans="51:55" x14ac:dyDescent="0.2">
      <c r="AY98">
        <v>13.585000000000001</v>
      </c>
      <c r="AZ98">
        <v>23.15</v>
      </c>
      <c r="BA98">
        <v>39.89</v>
      </c>
      <c r="BB98">
        <v>77.5</v>
      </c>
      <c r="BC98">
        <v>65</v>
      </c>
    </row>
    <row r="99" spans="51:55" x14ac:dyDescent="0.2">
      <c r="AY99">
        <v>7.4950000000000001</v>
      </c>
      <c r="AZ99">
        <v>22.98</v>
      </c>
      <c r="BA99">
        <v>35.049999999999997</v>
      </c>
      <c r="BB99">
        <v>71.5</v>
      </c>
      <c r="BC99">
        <v>58.5</v>
      </c>
    </row>
    <row r="100" spans="51:55" x14ac:dyDescent="0.2">
      <c r="AY100">
        <v>233.73</v>
      </c>
      <c r="AZ100">
        <v>56.984999999999999</v>
      </c>
      <c r="BA100">
        <v>222.625</v>
      </c>
      <c r="BB100">
        <v>449</v>
      </c>
      <c r="BC100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944d53-c778-4e16-a46f-21783cc5fc32" xsi:nil="true"/>
    <lcf76f155ced4ddcb4097134ff3c332f xmlns="6e2e905a-2fd4-4f7a-a6da-539a400f36e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83D7B9996224429B292D58DBB37C9B" ma:contentTypeVersion="13" ma:contentTypeDescription="Create a new document." ma:contentTypeScope="" ma:versionID="109cf546e9a50d298aefecaa1b2c6274">
  <xsd:schema xmlns:xsd="http://www.w3.org/2001/XMLSchema" xmlns:xs="http://www.w3.org/2001/XMLSchema" xmlns:p="http://schemas.microsoft.com/office/2006/metadata/properties" xmlns:ns2="6e2e905a-2fd4-4f7a-a6da-539a400f36eb" xmlns:ns3="6d944d53-c778-4e16-a46f-21783cc5fc32" targetNamespace="http://schemas.microsoft.com/office/2006/metadata/properties" ma:root="true" ma:fieldsID="91603d4179cf07a417969ff12745b3b8" ns2:_="" ns3:_="">
    <xsd:import namespace="6e2e905a-2fd4-4f7a-a6da-539a400f36eb"/>
    <xsd:import namespace="6d944d53-c778-4e16-a46f-21783cc5fc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2e905a-2fd4-4f7a-a6da-539a400f36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44d53-c778-4e16-a46f-21783cc5fc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959202-07e6-446c-8a0a-5d9ddf6b4194}" ma:internalName="TaxCatchAll" ma:showField="CatchAllData" ma:web="6d944d53-c778-4e16-a46f-21783cc5f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E4BADD-BA5F-4DE4-B223-67C66414B340}">
  <ds:schemaRefs>
    <ds:schemaRef ds:uri="6d944d53-c778-4e16-a46f-21783cc5fc32"/>
    <ds:schemaRef ds:uri="http://schemas.microsoft.com/office/2006/documentManagement/types"/>
    <ds:schemaRef ds:uri="6e2e905a-2fd4-4f7a-a6da-539a400f36eb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8333E43-A526-4A68-A6C2-B3BCCB75E2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7570BB-5733-484A-8E05-7A1DEDAB47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2e905a-2fd4-4f7a-a6da-539a400f36eb"/>
    <ds:schemaRef ds:uri="6d944d53-c778-4e16-a46f-21783cc5fc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C1 &amp; Average MDCK</vt:lpstr>
      <vt:lpstr>C1 Matches </vt:lpstr>
      <vt:lpstr>C2 &amp; Average MDCK</vt:lpstr>
      <vt:lpstr>C2 Matches</vt:lpstr>
      <vt:lpstr>C1</vt:lpstr>
      <vt:lpstr>C2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Teague, Mary (NIH/NCATS) [F]</cp:lastModifiedBy>
  <cp:revision/>
  <dcterms:created xsi:type="dcterms:W3CDTF">2026-03-12T14:27:16Z</dcterms:created>
  <dcterms:modified xsi:type="dcterms:W3CDTF">2026-07-02T19:02:46Z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0x010100E783D7B9996224429B292D58DBB37C9B</vt:lpwstr>
  </property>
  <property fmtid="{D5CDD505-2E9C-101B-9397-08002B2CF9AE}" pid="3" name="MediaServiceImageTags">
    <vt:lpwstr/>
  </property>
</Properties>
</file>